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Hallazgos" sheetId="2" state="visible" r:id="rId4"/>
    <sheet name="Pendiente (tú)" sheetId="3" state="visible" r:id="rId5"/>
    <sheet name="Verificado OK" sheetId="4" state="visible" r:id="rId6"/>
  </sheets>
  <definedNames>
    <definedName function="false" hidden="true" localSheetId="1" name="_xlnm._FilterDatabase" vbProcedure="false">Hallazgos!$A$1:$G$30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<sst xmlns="http://schemas.openxmlformats.org/spreadsheetml/2006/main" count="296" uniqueCount="213">
  <si>
    <t xml:space="preserve">Auditoría de seguridad y legal · CodeFlow</t>
  </si>
  <si>
    <t xml:space="preserve">30/10/2026 · web desplegada en Vercel + Supabase, CLI y app de escritorio</t>
  </si>
  <si>
    <t xml:space="preserve">Severidad</t>
  </si>
  <si>
    <t xml:space="preserve">Corregido</t>
  </si>
  <si>
    <t xml:space="preserve">Pendiente (tú)</t>
  </si>
  <si>
    <t xml:space="preserve">Otros pendientes</t>
  </si>
  <si>
    <t xml:space="preserve">Aceptado</t>
  </si>
  <si>
    <t xml:space="preserve">Total</t>
  </si>
  <si>
    <t xml:space="preserve">Crítica</t>
  </si>
  <si>
    <t xml:space="preserve">Alta</t>
  </si>
  <si>
    <t xml:space="preserve">Media</t>
  </si>
  <si>
    <t xml:space="preserve">Baja</t>
  </si>
  <si>
    <t xml:space="preserve">Info</t>
  </si>
  <si>
    <t xml:space="preserve">Lo urgente (tú): S01 cuentas de prueba en producción y S02 contraseña de Gmail. Ver hoja «Pendiente (tú)».</t>
  </si>
  <si>
    <t xml:space="preserve">Recuentos calculados con fórmulas a partir de la hoja «Hallazgos».</t>
  </si>
  <si>
    <t xml:space="preserve">ID</t>
  </si>
  <si>
    <t xml:space="preserve">Área</t>
  </si>
  <si>
    <t xml:space="preserve">Hallazgo</t>
  </si>
  <si>
    <t xml:space="preserve">Riesgo / evidencia</t>
  </si>
  <si>
    <t xml:space="preserve">Estado</t>
  </si>
  <si>
    <t xml:space="preserve">Qué se ha hecho / qué hacer</t>
  </si>
  <si>
    <t xml:space="preserve">S01</t>
  </si>
  <si>
    <t xml:space="preserve">Seguridad</t>
  </si>
  <si>
    <t xml:space="preserve">Cuentas de prueba en producción con contraseñas publicadas</t>
  </si>
  <si>
    <t xml:space="preserve">En /explore de producción aparece «Proyecto DAM / web-publica» (datos del DemoSeeder). El seeder usa por defecto Admin-CodeFlow-2026 / Demo-CodeFlow-2026 (están en el código público) e incluye admin@codeflow.test con permisos de administrador.</t>
  </si>
  <si>
    <t xml:space="preserve">Ejecutar en Supabase el SQL de la hoja «Pendiente (tú)» y borrar o desactivar esas cuentas. Corregido en código: en producción el seeder ya no usa contraseñas por defecto.</t>
  </si>
  <si>
    <t xml:space="preserve">S02</t>
  </si>
  <si>
    <t xml:space="preserve">Contraseña de aplicación de Gmail expuesta en el chat</t>
  </si>
  <si>
    <t xml:space="preserve">Se pegó en la conversación.</t>
  </si>
  <si>
    <t xml:space="preserve">Revocarla en tu cuenta de Google, crear otra y ponerla en MAIL_PASSWORD de Vercel.</t>
  </si>
  <si>
    <t xml:space="preserve">S03</t>
  </si>
  <si>
    <t xml:space="preserve">Contraseñas en el historial de git</t>
  </si>
  <si>
    <t xml:space="preserve">docker.env (commit f0307d7, borrado en bfa6a1e) contiene la contraseña de MySQL local y SEED_ADMIN_PASSWORD / SEED_DEMO_PASSWORD. Si el repositorio es público se pueden leer.</t>
  </si>
  <si>
    <t xml:space="preserve">No reutilizar esas contraseñas en ningún sitio (y cambiarlas si se usaron en producción). Reescribir el historial no hace falta si se cambian.</t>
  </si>
  <si>
    <t xml:space="preserve">S04</t>
  </si>
  <si>
    <t xml:space="preserve">Cambiar el correo no pedía la contraseña</t>
  </si>
  <si>
    <t xml:space="preserve">Con una sesión o token robados se podía poner otro correo y quedarse la cuenta.</t>
  </si>
  <si>
    <t xml:space="preserve">Web y API piden la contraseña actual para cambiar el correo. Tests: EmailChangeTest.</t>
  </si>
  <si>
    <t xml:space="preserve">S05</t>
  </si>
  <si>
    <t xml:space="preserve">La CLI y la app de escritorio no comprobaban las rutas que llegan del servidor</t>
  </si>
  <si>
    <t xml:space="preserve">Un servidor comprometido podría escribir fuera de la carpeta del repo (../, C:\, .codeflow).</t>
  </si>
  <si>
    <t xml:space="preserve">safeRel() en la CLI (test Go) y el servidor rechaza caracteres de control y la carpeta .codeflow. CLI recompilada (1.1.0).</t>
  </si>
  <si>
    <t xml:space="preserve">S06</t>
  </si>
  <si>
    <t xml:space="preserve">Faltaban cabeceras de seguridad</t>
  </si>
  <si>
    <t xml:space="preserve">Producción solo enviaba HSTS: la web se podía meter en un iframe (clickjacking), el Referer filtraba URLs (enlaces de restablecer contraseña, rutas de repos privados) y X-Powered-By decía PHP/8.4.27.</t>
  </si>
  <si>
    <t xml:space="preserve">Middleware SecurityHeaders: X-Frame-Options, CSP frame-ancestors/base-uri/form-action/object-src, nosniff, Referrer-Policy, Permissions-Policy, COOP; sin X-Powered-By.</t>
  </si>
  <si>
    <t xml:space="preserve">S07</t>
  </si>
  <si>
    <t xml:space="preserve">Cookie de sesión sin marca Secure en Vercel</t>
  </si>
  <si>
    <t xml:space="preserve">SESSION_SECURE_COOKIE no estaba definido.</t>
  </si>
  <si>
    <t xml:space="preserve">vercel.json: SESSION_SECURE_COOKIE=true.</t>
  </si>
  <si>
    <t xml:space="preserve">S08</t>
  </si>
  <si>
    <t xml:space="preserve">Tokens de las apps sin caducidad</t>
  </si>
  <si>
    <t xml:space="preserve">Un token robado de la CLI/escritorio servía para siempre.</t>
  </si>
  <si>
    <t xml:space="preserve">La tarea diaria borra los tokens sin usar en 180 días.</t>
  </si>
  <si>
    <t xml:space="preserve">S09</t>
  </si>
  <si>
    <t xml:space="preserve">Errores</t>
  </si>
  <si>
    <t xml:space="preserve">Errores 500 con listas en la URL</t>
  </si>
  <si>
    <t xml:space="preserve">?q[]=x provocaba 500 en 17 páginas (issues, actividad, código, PRs…).</t>
  </si>
  <si>
    <t xml:space="preserve">Responden 400. Test que recorre todas las rutas GET.</t>
  </si>
  <si>
    <t xml:space="preserve">S10</t>
  </si>
  <si>
    <t xml:space="preserve">Errores 500 en PostgreSQL con ids no numéricos</t>
  </si>
  <si>
    <t xml:space="preserve">/projects/1/invitations/abc o notificaciones con id no UUID daban error de base de datos.</t>
  </si>
  <si>
    <t xml:space="preserve">Patrones numéricos/UUID en las rutas. Test que recorre todas las rutas con parámetros basura (pasa en SQLite y PostgreSQL).</t>
  </si>
  <si>
    <t xml:space="preserve">S11</t>
  </si>
  <si>
    <t xml:space="preserve">La API revelaba nombres internos en los 404</t>
  </si>
  <si>
    <t xml:space="preserve">«No query results for model [App\Models\Repository]».</t>
  </si>
  <si>
    <t xml:space="preserve">Responde «No encontrado.».</t>
  </si>
  <si>
    <t xml:space="preserve">S12</t>
  </si>
  <si>
    <t xml:space="preserve">Fechas en inglés en producción</t>
  </si>
  <si>
    <t xml:space="preserve">«19 hours ago» en /explore: APP_LOCALE no estaba en Vercel.</t>
  </si>
  <si>
    <t xml:space="preserve">vercel.json: APP_LOCALE=es.</t>
  </si>
  <si>
    <t xml:space="preserve">S13</t>
  </si>
  <si>
    <t xml:space="preserve">symfony/mime v7.4.19 con una vulnerabilidad conocida</t>
  </si>
  <si>
    <t xml:space="preserve">CVE-2026-45070: inyección de cabeceras de correo con caracteres raros en nombres de parámetros MIME. Afecta a &lt; 7.4.22. CodeFlow no pone datos del usuario en esos nombres, así que el riesgo real es bajo.</t>
  </si>
  <si>
    <t xml:space="preserve">cd backend; composer update symfony/mime --with-dependencies; php artisan test; commit de composer.lock.</t>
  </si>
  <si>
    <t xml:space="preserve">L01</t>
  </si>
  <si>
    <t xml:space="preserve">Legal</t>
  </si>
  <si>
    <t xml:space="preserve">No había política de privacidad (RGPD art. 13)</t>
  </si>
  <si>
    <t xml:space="preserve">La web trata correos, IPs y contenido de usuarios.</t>
  </si>
  <si>
    <t xml:space="preserve">/legal/privacidad: responsable, datos, finalidades y bases legales, conservación, encargados (Vercel, Supabase, Gmail), transferencias, derechos, AEPD, edad mínima.</t>
  </si>
  <si>
    <t xml:space="preserve">L02</t>
  </si>
  <si>
    <t xml:space="preserve">No se podían ejercer los derechos de acceso, portabilidad y supresión</t>
  </si>
  <si>
    <t xml:space="preserve">No existía exportar datos ni borrar la cuenta.</t>
  </si>
  <si>
    <t xml:space="preserve">Perfil › Descargar mis datos (JSON) y Borrar mi cuenta (contraseña + escribir BORRAR). API: GET /api/me/export y DELETE /api/me. Tests: AccountDataTest.</t>
  </si>
  <si>
    <t xml:space="preserve">L03</t>
  </si>
  <si>
    <t xml:space="preserve">No había aviso legal (LSSI art. 10)</t>
  </si>
  <si>
    <t xml:space="preserve">/legal/aviso-legal con titular, contacto, finalidad académica y licencias de terceros.</t>
  </si>
  <si>
    <t xml:space="preserve">L04</t>
  </si>
  <si>
    <t xml:space="preserve">No había política de cookies</t>
  </si>
  <si>
    <t xml:space="preserve">Solo se usan cookies técnicas (sesión, XSRF, recordarme): no necesitan banner, pero hay que informar.</t>
  </si>
  <si>
    <t xml:space="preserve">/legal/cookies.</t>
  </si>
  <si>
    <t xml:space="preserve">L05</t>
  </si>
  <si>
    <t xml:space="preserve">No había condiciones de uso</t>
  </si>
  <si>
    <t xml:space="preserve">Contenido de usuarios, repos públicos, usos prohibidos y aviso de contenido ilícito (LSSI art. 16 / DSA).</t>
  </si>
  <si>
    <t xml:space="preserve">/legal/terminos.</t>
  </si>
  <si>
    <t xml:space="preserve">L06</t>
  </si>
  <si>
    <t xml:space="preserve">El registro no informaba de privacidad ni edad mínima</t>
  </si>
  <si>
    <t xml:space="preserve">LOPDGDD art. 7: 14 años.</t>
  </si>
  <si>
    <t xml:space="preserve">Aviso con enlaces en el registro; enlaces legales en el pie (escritorio, invitados y móvil).</t>
  </si>
  <si>
    <t xml:space="preserve">L07</t>
  </si>
  <si>
    <t xml:space="preserve">Datos del titular y contacto</t>
  </si>
  <si>
    <t xml:space="preserve">Titular genérico («El equipo de CodeFlow») y sin centro, por decisión vuestra. Región de Supabase comprobada: eu-west-1 (Irlanda).</t>
  </si>
  <si>
    <t xml:space="preserve">Ya puesto en el código (no hace falta tocar Vercel). Falta un correo de contacto: el RGPD exige un medio de contacto; mientras tanto el texto dice que se publicará en breve. Cuando lo tengáis: CODEFLOW_LEGAL_EMAIL en Vercel.</t>
  </si>
  <si>
    <t xml:space="preserve">L08</t>
  </si>
  <si>
    <t xml:space="preserve">Contratos de encargado del tratamiento (DPA)</t>
  </si>
  <si>
    <t xml:space="preserve">Vercel y Supabase tratan datos por vosotros.</t>
  </si>
  <si>
    <t xml:space="preserve">El DPA de Vercel va en sus términos; el de Supabase se acepta desde el panel (Settings › Legal Documents). Comprobar la región del proyecto de Supabase.</t>
  </si>
  <si>
    <t xml:space="preserve">L09</t>
  </si>
  <si>
    <t xml:space="preserve">El repositorio no tiene licencia</t>
  </si>
  <si>
    <t xml:space="preserve">Público sin LICENSE = todos los derechos reservados.</t>
  </si>
  <si>
    <t xml:space="preserve">Pendiente (decisión)</t>
  </si>
  <si>
    <t xml:space="preserve">Decidir con Marco: añadir MIT (u otra) o dejarlo así a propósito.</t>
  </si>
  <si>
    <t xml:space="preserve">L10</t>
  </si>
  <si>
    <t xml:space="preserve">Android: requisitos de Google Play</t>
  </si>
  <si>
    <t xml:space="preserve">Play exige URL de política de privacidad y de borrado de cuenta.</t>
  </si>
  <si>
    <t xml:space="preserve">Pendiente (Android)</t>
  </si>
  <si>
    <t xml:space="preserve">Usar /legal/privacidad y /profile; mostrar los enlaces en el registro de la app.</t>
  </si>
  <si>
    <t xml:space="preserve">L11</t>
  </si>
  <si>
    <t xml:space="preserve">Instalador de escritorio sin firmar</t>
  </si>
  <si>
    <t xml:space="preserve">Windows muestra el aviso SmartScreen. No es un problema legal.</t>
  </si>
  <si>
    <t xml:space="preserve">Firmar requiere un certificado de pago; se explica en Descargas.</t>
  </si>
  <si>
    <t xml:space="preserve">B01</t>
  </si>
  <si>
    <t xml:space="preserve">Se puede saber si un correo tiene cuenta</t>
  </si>
  <si>
    <t xml:space="preserve">El registro avisa si el correo existe y al invitar se ve si tiene cuenta.</t>
  </si>
  <si>
    <t xml:space="preserve">Normal en este tipo de plataformas (GitHub hace lo mismo).</t>
  </si>
  <si>
    <t xml:space="preserve">B02</t>
  </si>
  <si>
    <t xml:space="preserve">Login de la API limitado por IP, no por cuenta</t>
  </si>
  <si>
    <t xml:space="preserve">10 intentos/min por IP.</t>
  </si>
  <si>
    <t xml:space="preserve">La web limita por correo+IP. Suficiente para el proyecto.</t>
  </si>
  <si>
    <t xml:space="preserve">B03</t>
  </si>
  <si>
    <t xml:space="preserve">Privacidad</t>
  </si>
  <si>
    <t xml:space="preserve">Imágenes externas en Markdown</t>
  </si>
  <si>
    <t xml:space="preserve">Una imagen en una issue carga desde otra web (ve la IP del lector).</t>
  </si>
  <si>
    <t xml:space="preserve">Igual que GitHub sin proxy de imágenes.</t>
  </si>
  <si>
    <t xml:space="preserve">B04</t>
  </si>
  <si>
    <t xml:space="preserve">Auditoría de dependencias</t>
  </si>
  <si>
    <t xml:space="preserve">composer audit (111 paquetes, consultando la base de avisos de Packagist) y npm audit (web y escritorio).</t>
  </si>
  <si>
    <t xml:space="preserve">Solo un paquete afectado: symfony/mime (ver S13). npm: 0 vulnerabilidades.</t>
  </si>
  <si>
    <t xml:space="preserve">B05</t>
  </si>
  <si>
    <t xml:space="preserve">Clave maestra de tests en phpunit.xml</t>
  </si>
  <si>
    <t xml:space="preserve">Es solo para tests.</t>
  </si>
  <si>
    <t xml:space="preserve">Comprobar que CODEFLOW_MASTER_KEY de Vercel NO es la de phpunit.xml.</t>
  </si>
  <si>
    <t xml:space="preserve">Paso</t>
  </si>
  <si>
    <t xml:space="preserve">Qué hacer</t>
  </si>
  <si>
    <t xml:space="preserve">Comando / dónde</t>
  </si>
  <si>
    <t xml:space="preserve">1</t>
  </si>
  <si>
    <t xml:space="preserve">Supabase › SQL Editor: ver las cuentas de prueba</t>
  </si>
  <si>
    <t xml:space="preserve">SELECT id, email, is_admin, created_at FROM users WHERE email LIKE '%@codeflow.test' ORDER BY id;</t>
  </si>
  <si>
    <t xml:space="preserve">2</t>
  </si>
  <si>
    <t xml:space="preserve">Si aparecen y no las necesitas: desactivarlas (no se puede entrar con ellas)</t>
  </si>
  <si>
    <t xml:space="preserve">UPDATE users SET is_active = false WHERE email LIKE '%@codeflow.test';</t>
  </si>
  <si>
    <t xml:space="preserve">3</t>
  </si>
  <si>
    <t xml:space="preserve">…o, si quieres conservar la demo, cámbiales la contraseña desde la web (Perfil › Cambiar contraseña) entrando tú con cada una, y asegúrate de que tu cuenta real es administradora</t>
  </si>
  <si>
    <t xml:space="preserve">UPDATE users SET is_admin = true WHERE email = 'TU_CORREO';</t>
  </si>
  <si>
    <t xml:space="preserve">4</t>
  </si>
  <si>
    <t xml:space="preserve">Google: revocar la contraseña de aplicación expuesta y crear otra</t>
  </si>
  <si>
    <t xml:space="preserve">myaccount.google.com › Seguridad › Contraseñas de aplicaciones. Ponerla en Vercel › MAIL_PASSWORD.</t>
  </si>
  <si>
    <t xml:space="preserve">5</t>
  </si>
  <si>
    <t xml:space="preserve">Cuando tengáis correo de contacto: Vercel › Environment Variables</t>
  </si>
  <si>
    <t xml:space="preserve">CODEFLOW_LEGAL_EMAIL = el correo, y Redeploy</t>
  </si>
  <si>
    <t xml:space="preserve">6</t>
  </si>
  <si>
    <t xml:space="preserve">Vercel: comprobar que CODEFLOW_MASTER_KEY no es la de phpunit.xml</t>
  </si>
  <si>
    <t xml:space="preserve">Si lo fuera, NO la cambies sin más (los repos están cifrados con ella): avísame.</t>
  </si>
  <si>
    <t xml:space="preserve">7</t>
  </si>
  <si>
    <t xml:space="preserve">Supabase: aceptar el DPA y anotar la región</t>
  </si>
  <si>
    <t xml:space="preserve">Settings › Legal Documents / General › Region</t>
  </si>
  <si>
    <t xml:space="preserve">8</t>
  </si>
  <si>
    <t xml:space="preserve">Actualizar symfony/mime (S13)</t>
  </si>
  <si>
    <t xml:space="preserve">cd backend; composer update symfony/mime --with-dependencies; php artisan test</t>
  </si>
  <si>
    <t xml:space="preserve">9</t>
  </si>
  <si>
    <t xml:space="preserve">Decidir la licencia del repositorio con Marco</t>
  </si>
  <si>
    <t xml:space="preserve">MIT o «todos los derechos reservados»</t>
  </si>
  <si>
    <t xml:space="preserve">10</t>
  </si>
  <si>
    <t xml:space="preserve">Commit + push de estos cambios y Redeploy en Vercel</t>
  </si>
  <si>
    <t xml:space="preserve">Los cambios de vercel.json (cookie segura, idioma) se aplican al desplegar.</t>
  </si>
  <si>
    <t xml:space="preserve">Comprobación</t>
  </si>
  <si>
    <t xml:space="preserve">Resultado</t>
  </si>
  <si>
    <t xml:space="preserve">Inyección SQL</t>
  </si>
  <si>
    <t xml:space="preserve">Revisados los 24 usos de SQL «raw» y todos los LIKE: siempre con parámetros enlazados (?), nunca concatenando datos del usuario.</t>
  </si>
  <si>
    <t xml:space="preserve">XSS</t>
  </si>
  <si>
    <t xml:space="preserve">4 salidas sin escapar revisadas: Markdown con HTML escapado y sin enlaces javascript:, atributos con e(). @json seguro. El JS no mete datos del usuario con innerHTML.</t>
  </si>
  <si>
    <t xml:space="preserve">Autorización (IDOR)</t>
  </si>
  <si>
    <t xml:space="preserve">Test automático que recorre TODAS las rutas con proyecto/repo/rama/commit/issue/PR como usuario ajeno (repo privado y público) y como observador: ningún acceso indebido. Queda como test permanente.</t>
  </si>
  <si>
    <t xml:space="preserve">CSRF</t>
  </si>
  <si>
    <t xml:space="preserve">Activo en todos los formularios web; la API usa tokens Bearer.</t>
  </si>
  <si>
    <t xml:space="preserve">Asignación masiva</t>
  </si>
  <si>
    <t xml:space="preserve">Ningún controlador usa $request-&gt;all(); todo pasa por validate().</t>
  </si>
  <si>
    <t xml:space="preserve">Límites de intentos</t>
  </si>
  <si>
    <t xml:space="preserve">Login, registro, restablecer contraseña, verificación, invitaciones, explorar, revert e IA.</t>
  </si>
  <si>
    <t xml:space="preserve">Verificación de correo</t>
  </si>
  <si>
    <t xml:space="preserve">Código de 6 dígitos guardado con hash, con intentos máximos y caducidad.</t>
  </si>
  <si>
    <t xml:space="preserve">Restablecer contraseña</t>
  </si>
  <si>
    <t xml:space="preserve">Respuesta neutra (no dice si el correo existe); los tokens caducan y se purgan.</t>
  </si>
  <si>
    <t xml:space="preserve">Invitaciones</t>
  </si>
  <si>
    <t xml:space="preserve">Token aleatorio guardado como SHA-256; solo se aceptan con el mismo correo y verificado.</t>
  </si>
  <si>
    <t xml:space="preserve">Archivos raw</t>
  </si>
  <si>
    <t xml:space="preserve">Se sirven con CSP sandbox: un HTML subido no se ejecuta.</t>
  </si>
  <si>
    <t xml:space="preserve">Subidas</t>
  </si>
  <si>
    <t xml:space="preserve">Límites de tamaño por archivo y de archivos por commit.</t>
  </si>
  <si>
    <t xml:space="preserve">App de escritorio</t>
  </si>
  <si>
    <t xml:space="preserve">contextIsolation, sandbox, sin nodeIntegration, CSP estricta, lista blanca de comandos, solo carpetas conocidas, sin innerHTML.</t>
  </si>
  <si>
    <t xml:space="preserve">Producción</t>
  </si>
  <si>
    <t xml:space="preserve">APP_DEBUG desactivado; .env, .git, logs y composer.json no accesibles (404); HSTS con preload; página 404 propia.</t>
  </si>
  <si>
    <t xml:space="preserve">Supabase</t>
  </si>
  <si>
    <t xml:space="preserve">RLS activado en todas las tablas (la clave anónima no da acceso a nada).</t>
  </si>
  <si>
    <t xml:space="preserve">Cifrado</t>
  </si>
  <si>
    <t xml:space="preserve">Contenido de repos y mensajes de commit cifrados por repositorio; contraseñas con hash.</t>
  </si>
  <si>
    <t xml:space="preserve">Fuentes y recursos</t>
  </si>
  <si>
    <t xml:space="preserve">Todo servido desde la propia web (sin Google Fonts ni CDNs): no se envían IPs a terceros.</t>
  </si>
  <si>
    <t xml:space="preserve">Cron</t>
  </si>
  <si>
    <t xml:space="preserve">/api/cron/daily exige el secreto con comparación en tiempo constante.</t>
  </si>
  <si>
    <t xml:space="preserve">Tests</t>
  </si>
  <si>
    <t xml:space="preserve">256 tests en SQLite y PostgreSQL + test de la CLI; Pint limpio.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</si>
</sst>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2E1"/>
        <bgColor rgb="FFFEE2E2"/>
      </patternFill>
    </fill>
    <fill>
      <patternFill patternType="solid">
        <fgColor rgb="FFFEEBC8"/>
        <bgColor rgb="FFFDE2E1"/>
      </patternFill>
    </fill>
    <fill>
      <patternFill patternType="solid">
        <fgColor rgb="FFFEF9C3"/>
        <bgColor rgb="FFFEEBC8"/>
      </patternFill>
    </fill>
    <fill>
      <patternFill patternType="solid">
        <fgColor rgb="FFE0F2FE"/>
        <bgColor rgb="FFF1F5F9"/>
      </patternFill>
    </fill>
    <fill>
      <patternFill patternType="solid">
        <fgColor rgb="FFF1F5F9"/>
        <bgColor rgb="FFE0F2FE"/>
      </patternFill>
    </fill>
    <fill>
      <patternFill patternType="solid">
        <fgColor rgb="FFFEE2E2"/>
        <bgColor rgb="FFFDE2E1"/>
      </patternFill>
    </fill>
    <fill>
      <patternFill patternType="solid">
        <fgColor rgb="FFDCFCE7"/>
        <bgColor rgb="FFE0F2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EEBC8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E2E2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1F5F9"/>
      <rgbColor rgb="FFFEEBC8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COUNTIFS(Hallazgos!$C:$C,$A5,Hallazgos!$F:$F,"Corregido")</f>
        <v>0</v>
      </c>
      <c r="C5" s="5" t="n">
        <f aca="false">COUNTIFS(Hallazgos!$C:$C,$A5,Hallazgos!$F:$F,"Pendiente (tú)")</f>
        <v>2</v>
      </c>
      <c r="D5" s="5" t="n">
        <f aca="false">COUNTIFS(Hallazgos!$C:$C,$A5,Hallazgos!$F:$F,"Pendiente (*")-C5</f>
        <v>0</v>
      </c>
      <c r="E5" s="5" t="n">
        <f aca="false">COUNTIFS(Hallazgos!$C:$C,$A5,Hallazgos!$F:$F,"Aceptado")</f>
        <v>0</v>
      </c>
      <c r="F5" s="5" t="n">
        <f aca="false">COUNTIF(Hallazgos!$C:$C,$A5)</f>
        <v>2</v>
      </c>
    </row>
    <row r="6" customFormat="false" ht="15" hidden="false" customHeight="false" outlineLevel="0" collapsed="false">
      <c r="A6" s="6" t="s">
        <v>9</v>
      </c>
      <c r="B6" s="5" t="n">
        <f aca="false">COUNTIFS(Hallazgos!$C:$C,$A6,Hallazgos!$F:$F,"Corregido")</f>
        <v>4</v>
      </c>
      <c r="C6" s="5" t="n">
        <f aca="false">COUNTIFS(Hallazgos!$C:$C,$A6,Hallazgos!$F:$F,"Pendiente (tú)")</f>
        <v>1</v>
      </c>
      <c r="D6" s="5" t="n">
        <f aca="false">COUNTIFS(Hallazgos!$C:$C,$A6,Hallazgos!$F:$F,"Pendiente (*")-C6</f>
        <v>0</v>
      </c>
      <c r="E6" s="5" t="n">
        <f aca="false">COUNTIFS(Hallazgos!$C:$C,$A6,Hallazgos!$F:$F,"Aceptado")</f>
        <v>0</v>
      </c>
      <c r="F6" s="5" t="n">
        <f aca="false">COUNTIF(Hallazgos!$C:$C,$A6)</f>
        <v>5</v>
      </c>
    </row>
    <row r="7" customFormat="false" ht="15" hidden="false" customHeight="false" outlineLevel="0" collapsed="false">
      <c r="A7" s="7" t="s">
        <v>10</v>
      </c>
      <c r="B7" s="5" t="n">
        <f aca="false">COUNTIFS(Hallazgos!$C:$C,$A7,Hallazgos!$F:$F,"Corregido")</f>
        <v>9</v>
      </c>
      <c r="C7" s="5" t="n">
        <f aca="false">COUNTIFS(Hallazgos!$C:$C,$A7,Hallazgos!$F:$F,"Pendiente (tú)")</f>
        <v>2</v>
      </c>
      <c r="D7" s="5" t="n">
        <f aca="false">COUNTIFS(Hallazgos!$C:$C,$A7,Hallazgos!$F:$F,"Pendiente (*")-C7</f>
        <v>0</v>
      </c>
      <c r="E7" s="5" t="n">
        <f aca="false">COUNTIFS(Hallazgos!$C:$C,$A7,Hallazgos!$F:$F,"Aceptado")</f>
        <v>0</v>
      </c>
      <c r="F7" s="5" t="n">
        <f aca="false">COUNTIF(Hallazgos!$C:$C,$A7)</f>
        <v>11</v>
      </c>
    </row>
    <row r="8" customFormat="false" ht="15" hidden="false" customHeight="false" outlineLevel="0" collapsed="false">
      <c r="A8" s="8" t="s">
        <v>11</v>
      </c>
      <c r="B8" s="5" t="n">
        <f aca="false">COUNTIFS(Hallazgos!$C:$C,$A8,Hallazgos!$F:$F,"Corregido")</f>
        <v>2</v>
      </c>
      <c r="C8" s="5" t="n">
        <f aca="false">COUNTIFS(Hallazgos!$C:$C,$A8,Hallazgos!$F:$F,"Pendiente (tú)")</f>
        <v>1</v>
      </c>
      <c r="D8" s="5" t="n">
        <f aca="false">COUNTIFS(Hallazgos!$C:$C,$A8,Hallazgos!$F:$F,"Pendiente (*")-C8</f>
        <v>1</v>
      </c>
      <c r="E8" s="5" t="n">
        <f aca="false">COUNTIFS(Hallazgos!$C:$C,$A8,Hallazgos!$F:$F,"Aceptado")</f>
        <v>3</v>
      </c>
      <c r="F8" s="5" t="n">
        <f aca="false">COUNTIF(Hallazgos!$C:$C,$A8)</f>
        <v>7</v>
      </c>
    </row>
    <row r="9" customFormat="false" ht="15" hidden="false" customHeight="false" outlineLevel="0" collapsed="false">
      <c r="A9" s="9" t="s">
        <v>12</v>
      </c>
      <c r="B9" s="5" t="n">
        <f aca="false">COUNTIFS(Hallazgos!$C:$C,$A9,Hallazgos!$F:$F,"Corregido")</f>
        <v>1</v>
      </c>
      <c r="C9" s="5" t="n">
        <f aca="false">COUNTIFS(Hallazgos!$C:$C,$A9,Hallazgos!$F:$F,"Pendiente (tú)")</f>
        <v>1</v>
      </c>
      <c r="D9" s="5" t="n">
        <f aca="false">COUNTIFS(Hallazgos!$C:$C,$A9,Hallazgos!$F:$F,"Pendiente (*")-C9</f>
        <v>1</v>
      </c>
      <c r="E9" s="5" t="n">
        <f aca="false">COUNTIFS(Hallazgos!$C:$C,$A9,Hallazgos!$F:$F,"Aceptado")</f>
        <v>1</v>
      </c>
      <c r="F9" s="5" t="n">
        <f aca="false">COUNTIF(Hallazgos!$C:$C,$A9)</f>
        <v>4</v>
      </c>
    </row>
    <row r="10" customFormat="false" ht="15" hidden="false" customHeight="false" outlineLevel="0" collapsed="false">
      <c r="A10" s="10" t="s">
        <v>7</v>
      </c>
      <c r="B10" s="11" t="n">
        <f aca="false">SUM(B5:B9)</f>
        <v>16</v>
      </c>
      <c r="C10" s="11" t="n">
        <f aca="false">SUM(C5:C9)</f>
        <v>7</v>
      </c>
      <c r="D10" s="11" t="n">
        <f aca="false">SUM(D5:D9)</f>
        <v>2</v>
      </c>
      <c r="E10" s="11" t="n">
        <f aca="false">SUM(E5:E9)</f>
        <v>4</v>
      </c>
      <c r="F10" s="11" t="n">
        <f aca="false">SUM(F5:F9)</f>
        <v>29</v>
      </c>
    </row>
    <row r="12" customFormat="false" ht="15" hidden="false" customHeight="false" outlineLevel="0" collapsed="false">
      <c r="A12" s="12" t="s">
        <v>13</v>
      </c>
    </row>
    <row r="13" customFormat="false" ht="15" hidden="false" customHeight="false" outlineLevel="0" collapsed="false">
      <c r="A13" s="1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60"/>
    <col collapsed="false" customWidth="true" hidden="false" outlineLevel="0" max="6" min="6" style="0" width="17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4" t="s">
        <v>15</v>
      </c>
      <c r="B1" s="14" t="s">
        <v>16</v>
      </c>
      <c r="C1" s="14" t="s">
        <v>2</v>
      </c>
      <c r="D1" s="14" t="s">
        <v>17</v>
      </c>
      <c r="E1" s="14" t="s">
        <v>18</v>
      </c>
      <c r="F1" s="14" t="s">
        <v>19</v>
      </c>
      <c r="G1" s="14" t="s">
        <v>20</v>
      </c>
    </row>
    <row r="2" customFormat="false" ht="46.25" hidden="false" customHeight="false" outlineLevel="0" collapsed="false">
      <c r="A2" s="15" t="s">
        <v>21</v>
      </c>
      <c r="B2" s="15" t="s">
        <v>22</v>
      </c>
      <c r="C2" s="16" t="s">
        <v>8</v>
      </c>
      <c r="D2" s="17" t="s">
        <v>23</v>
      </c>
      <c r="E2" s="15" t="s">
        <v>24</v>
      </c>
      <c r="F2" s="18" t="s">
        <v>4</v>
      </c>
      <c r="G2" s="15" t="s">
        <v>25</v>
      </c>
    </row>
    <row r="3" customFormat="false" ht="23.85" hidden="false" customHeight="false" outlineLevel="0" collapsed="false">
      <c r="A3" s="15" t="s">
        <v>26</v>
      </c>
      <c r="B3" s="15" t="s">
        <v>22</v>
      </c>
      <c r="C3" s="16" t="s">
        <v>8</v>
      </c>
      <c r="D3" s="17" t="s">
        <v>27</v>
      </c>
      <c r="E3" s="15" t="s">
        <v>28</v>
      </c>
      <c r="F3" s="18" t="s">
        <v>4</v>
      </c>
      <c r="G3" s="15" t="s">
        <v>29</v>
      </c>
    </row>
    <row r="4" customFormat="false" ht="35.05" hidden="false" customHeight="false" outlineLevel="0" collapsed="false">
      <c r="A4" s="15" t="s">
        <v>30</v>
      </c>
      <c r="B4" s="15" t="s">
        <v>22</v>
      </c>
      <c r="C4" s="19" t="s">
        <v>9</v>
      </c>
      <c r="D4" s="17" t="s">
        <v>31</v>
      </c>
      <c r="E4" s="15" t="s">
        <v>32</v>
      </c>
      <c r="F4" s="18" t="s">
        <v>4</v>
      </c>
      <c r="G4" s="15" t="s">
        <v>33</v>
      </c>
    </row>
    <row r="5" customFormat="false" ht="23.85" hidden="false" customHeight="false" outlineLevel="0" collapsed="false">
      <c r="A5" s="15" t="s">
        <v>34</v>
      </c>
      <c r="B5" s="15" t="s">
        <v>22</v>
      </c>
      <c r="C5" s="19" t="s">
        <v>9</v>
      </c>
      <c r="D5" s="17" t="s">
        <v>35</v>
      </c>
      <c r="E5" s="15" t="s">
        <v>36</v>
      </c>
      <c r="F5" s="20" t="s">
        <v>3</v>
      </c>
      <c r="G5" s="15" t="s">
        <v>37</v>
      </c>
    </row>
    <row r="6" customFormat="false" ht="35.05" hidden="false" customHeight="false" outlineLevel="0" collapsed="false">
      <c r="A6" s="15" t="s">
        <v>38</v>
      </c>
      <c r="B6" s="15" t="s">
        <v>22</v>
      </c>
      <c r="C6" s="19" t="s">
        <v>9</v>
      </c>
      <c r="D6" s="17" t="s">
        <v>39</v>
      </c>
      <c r="E6" s="15" t="s">
        <v>40</v>
      </c>
      <c r="F6" s="20" t="s">
        <v>3</v>
      </c>
      <c r="G6" s="15" t="s">
        <v>41</v>
      </c>
    </row>
    <row r="7" customFormat="false" ht="35.05" hidden="false" customHeight="false" outlineLevel="0" collapsed="false">
      <c r="A7" s="15" t="s">
        <v>42</v>
      </c>
      <c r="B7" s="15" t="s">
        <v>22</v>
      </c>
      <c r="C7" s="21" t="s">
        <v>10</v>
      </c>
      <c r="D7" s="17" t="s">
        <v>43</v>
      </c>
      <c r="E7" s="15" t="s">
        <v>44</v>
      </c>
      <c r="F7" s="20" t="s">
        <v>3</v>
      </c>
      <c r="G7" s="15" t="s">
        <v>45</v>
      </c>
    </row>
    <row r="8" customFormat="false" ht="23.85" hidden="false" customHeight="false" outlineLevel="0" collapsed="false">
      <c r="A8" s="15" t="s">
        <v>46</v>
      </c>
      <c r="B8" s="15" t="s">
        <v>22</v>
      </c>
      <c r="C8" s="21" t="s">
        <v>10</v>
      </c>
      <c r="D8" s="17" t="s">
        <v>47</v>
      </c>
      <c r="E8" s="15" t="s">
        <v>48</v>
      </c>
      <c r="F8" s="20" t="s">
        <v>3</v>
      </c>
      <c r="G8" s="15" t="s">
        <v>49</v>
      </c>
    </row>
    <row r="9" customFormat="false" ht="15" hidden="false" customHeight="false" outlineLevel="0" collapsed="false">
      <c r="A9" s="15" t="s">
        <v>50</v>
      </c>
      <c r="B9" s="15" t="s">
        <v>22</v>
      </c>
      <c r="C9" s="21" t="s">
        <v>10</v>
      </c>
      <c r="D9" s="17" t="s">
        <v>51</v>
      </c>
      <c r="E9" s="15" t="s">
        <v>52</v>
      </c>
      <c r="F9" s="20" t="s">
        <v>3</v>
      </c>
      <c r="G9" s="15" t="s">
        <v>53</v>
      </c>
    </row>
    <row r="10" customFormat="false" ht="15" hidden="false" customHeight="false" outlineLevel="0" collapsed="false">
      <c r="A10" s="15" t="s">
        <v>54</v>
      </c>
      <c r="B10" s="15" t="s">
        <v>55</v>
      </c>
      <c r="C10" s="21" t="s">
        <v>10</v>
      </c>
      <c r="D10" s="17" t="s">
        <v>56</v>
      </c>
      <c r="E10" s="15" t="s">
        <v>57</v>
      </c>
      <c r="F10" s="20" t="s">
        <v>3</v>
      </c>
      <c r="G10" s="15" t="s">
        <v>58</v>
      </c>
    </row>
    <row r="11" customFormat="false" ht="23.85" hidden="false" customHeight="false" outlineLevel="0" collapsed="false">
      <c r="A11" s="15" t="s">
        <v>59</v>
      </c>
      <c r="B11" s="15" t="s">
        <v>55</v>
      </c>
      <c r="C11" s="21" t="s">
        <v>10</v>
      </c>
      <c r="D11" s="17" t="s">
        <v>60</v>
      </c>
      <c r="E11" s="15" t="s">
        <v>61</v>
      </c>
      <c r="F11" s="20" t="s">
        <v>3</v>
      </c>
      <c r="G11" s="15" t="s">
        <v>62</v>
      </c>
    </row>
    <row r="12" customFormat="false" ht="23.85" hidden="false" customHeight="false" outlineLevel="0" collapsed="false">
      <c r="A12" s="15" t="s">
        <v>63</v>
      </c>
      <c r="B12" s="15" t="s">
        <v>22</v>
      </c>
      <c r="C12" s="22" t="s">
        <v>11</v>
      </c>
      <c r="D12" s="17" t="s">
        <v>64</v>
      </c>
      <c r="E12" s="15" t="s">
        <v>65</v>
      </c>
      <c r="F12" s="20" t="s">
        <v>3</v>
      </c>
      <c r="G12" s="15" t="s">
        <v>66</v>
      </c>
    </row>
    <row r="13" customFormat="false" ht="15" hidden="false" customHeight="false" outlineLevel="0" collapsed="false">
      <c r="A13" s="15" t="s">
        <v>67</v>
      </c>
      <c r="B13" s="15" t="s">
        <v>55</v>
      </c>
      <c r="C13" s="22" t="s">
        <v>11</v>
      </c>
      <c r="D13" s="17" t="s">
        <v>68</v>
      </c>
      <c r="E13" s="15" t="s">
        <v>69</v>
      </c>
      <c r="F13" s="20" t="s">
        <v>3</v>
      </c>
      <c r="G13" s="15" t="s">
        <v>70</v>
      </c>
    </row>
    <row r="14" customFormat="false" ht="35.05" hidden="false" customHeight="false" outlineLevel="0" collapsed="false">
      <c r="A14" s="15" t="s">
        <v>71</v>
      </c>
      <c r="B14" s="15" t="s">
        <v>22</v>
      </c>
      <c r="C14" s="21" t="s">
        <v>10</v>
      </c>
      <c r="D14" s="17" t="s">
        <v>72</v>
      </c>
      <c r="E14" s="15" t="s">
        <v>73</v>
      </c>
      <c r="F14" s="18" t="s">
        <v>4</v>
      </c>
      <c r="G14" s="15" t="s">
        <v>74</v>
      </c>
    </row>
    <row r="15" customFormat="false" ht="35.05" hidden="false" customHeight="false" outlineLevel="0" collapsed="false">
      <c r="A15" s="15" t="s">
        <v>75</v>
      </c>
      <c r="B15" s="15" t="s">
        <v>76</v>
      </c>
      <c r="C15" s="19" t="s">
        <v>9</v>
      </c>
      <c r="D15" s="17" t="s">
        <v>77</v>
      </c>
      <c r="E15" s="15" t="s">
        <v>78</v>
      </c>
      <c r="F15" s="20" t="s">
        <v>3</v>
      </c>
      <c r="G15" s="15" t="s">
        <v>79</v>
      </c>
    </row>
    <row r="16" customFormat="false" ht="23.85" hidden="false" customHeight="false" outlineLevel="0" collapsed="false">
      <c r="A16" s="15" t="s">
        <v>80</v>
      </c>
      <c r="B16" s="15" t="s">
        <v>76</v>
      </c>
      <c r="C16" s="19" t="s">
        <v>9</v>
      </c>
      <c r="D16" s="17" t="s">
        <v>81</v>
      </c>
      <c r="E16" s="15" t="s">
        <v>82</v>
      </c>
      <c r="F16" s="20" t="s">
        <v>3</v>
      </c>
      <c r="G16" s="15" t="s">
        <v>83</v>
      </c>
    </row>
    <row r="17" customFormat="false" ht="15" hidden="false" customHeight="false" outlineLevel="0" collapsed="false">
      <c r="A17" s="15" t="s">
        <v>84</v>
      </c>
      <c r="B17" s="15" t="s">
        <v>76</v>
      </c>
      <c r="C17" s="21" t="s">
        <v>10</v>
      </c>
      <c r="D17" s="17" t="s">
        <v>85</v>
      </c>
      <c r="E17" s="15"/>
      <c r="F17" s="20" t="s">
        <v>3</v>
      </c>
      <c r="G17" s="15" t="s">
        <v>86</v>
      </c>
    </row>
    <row r="18" customFormat="false" ht="23.85" hidden="false" customHeight="false" outlineLevel="0" collapsed="false">
      <c r="A18" s="15" t="s">
        <v>87</v>
      </c>
      <c r="B18" s="15" t="s">
        <v>76</v>
      </c>
      <c r="C18" s="21" t="s">
        <v>10</v>
      </c>
      <c r="D18" s="17" t="s">
        <v>88</v>
      </c>
      <c r="E18" s="15" t="s">
        <v>89</v>
      </c>
      <c r="F18" s="20" t="s">
        <v>3</v>
      </c>
      <c r="G18" s="15" t="s">
        <v>90</v>
      </c>
    </row>
    <row r="19" customFormat="false" ht="23.85" hidden="false" customHeight="false" outlineLevel="0" collapsed="false">
      <c r="A19" s="15" t="s">
        <v>91</v>
      </c>
      <c r="B19" s="15" t="s">
        <v>76</v>
      </c>
      <c r="C19" s="21" t="s">
        <v>10</v>
      </c>
      <c r="D19" s="17" t="s">
        <v>92</v>
      </c>
      <c r="E19" s="15" t="s">
        <v>93</v>
      </c>
      <c r="F19" s="20" t="s">
        <v>3</v>
      </c>
      <c r="G19" s="15" t="s">
        <v>94</v>
      </c>
    </row>
    <row r="20" customFormat="false" ht="23.85" hidden="false" customHeight="false" outlineLevel="0" collapsed="false">
      <c r="A20" s="15" t="s">
        <v>95</v>
      </c>
      <c r="B20" s="15" t="s">
        <v>76</v>
      </c>
      <c r="C20" s="21" t="s">
        <v>10</v>
      </c>
      <c r="D20" s="17" t="s">
        <v>96</v>
      </c>
      <c r="E20" s="15" t="s">
        <v>97</v>
      </c>
      <c r="F20" s="20" t="s">
        <v>3</v>
      </c>
      <c r="G20" s="15" t="s">
        <v>98</v>
      </c>
    </row>
    <row r="21" customFormat="false" ht="35.05" hidden="false" customHeight="false" outlineLevel="0" collapsed="false">
      <c r="A21" s="15" t="s">
        <v>99</v>
      </c>
      <c r="B21" s="15" t="s">
        <v>76</v>
      </c>
      <c r="C21" s="21" t="s">
        <v>10</v>
      </c>
      <c r="D21" s="17" t="s">
        <v>100</v>
      </c>
      <c r="E21" s="15" t="s">
        <v>101</v>
      </c>
      <c r="F21" s="18" t="s">
        <v>4</v>
      </c>
      <c r="G21" s="15" t="s">
        <v>102</v>
      </c>
    </row>
    <row r="22" customFormat="false" ht="23.85" hidden="false" customHeight="false" outlineLevel="0" collapsed="false">
      <c r="A22" s="15" t="s">
        <v>103</v>
      </c>
      <c r="B22" s="15" t="s">
        <v>76</v>
      </c>
      <c r="C22" s="22" t="s">
        <v>11</v>
      </c>
      <c r="D22" s="17" t="s">
        <v>104</v>
      </c>
      <c r="E22" s="15" t="s">
        <v>105</v>
      </c>
      <c r="F22" s="18" t="s">
        <v>4</v>
      </c>
      <c r="G22" s="15" t="s">
        <v>106</v>
      </c>
    </row>
    <row r="23" customFormat="false" ht="15" hidden="false" customHeight="false" outlineLevel="0" collapsed="false">
      <c r="A23" s="15" t="s">
        <v>107</v>
      </c>
      <c r="B23" s="15" t="s">
        <v>76</v>
      </c>
      <c r="C23" s="22" t="s">
        <v>11</v>
      </c>
      <c r="D23" s="17" t="s">
        <v>108</v>
      </c>
      <c r="E23" s="15" t="s">
        <v>109</v>
      </c>
      <c r="F23" s="18" t="s">
        <v>110</v>
      </c>
      <c r="G23" s="15" t="s">
        <v>111</v>
      </c>
    </row>
    <row r="24" customFormat="false" ht="15" hidden="false" customHeight="false" outlineLevel="0" collapsed="false">
      <c r="A24" s="15" t="s">
        <v>112</v>
      </c>
      <c r="B24" s="15" t="s">
        <v>76</v>
      </c>
      <c r="C24" s="23" t="s">
        <v>12</v>
      </c>
      <c r="D24" s="17" t="s">
        <v>113</v>
      </c>
      <c r="E24" s="15" t="s">
        <v>114</v>
      </c>
      <c r="F24" s="18" t="s">
        <v>115</v>
      </c>
      <c r="G24" s="15" t="s">
        <v>116</v>
      </c>
    </row>
    <row r="25" customFormat="false" ht="15" hidden="false" customHeight="false" outlineLevel="0" collapsed="false">
      <c r="A25" s="15" t="s">
        <v>117</v>
      </c>
      <c r="B25" s="15" t="s">
        <v>76</v>
      </c>
      <c r="C25" s="23" t="s">
        <v>12</v>
      </c>
      <c r="D25" s="17" t="s">
        <v>118</v>
      </c>
      <c r="E25" s="15" t="s">
        <v>119</v>
      </c>
      <c r="F25" s="23" t="s">
        <v>6</v>
      </c>
      <c r="G25" s="15" t="s">
        <v>120</v>
      </c>
    </row>
    <row r="26" customFormat="false" ht="15" hidden="false" customHeight="false" outlineLevel="0" collapsed="false">
      <c r="A26" s="15" t="s">
        <v>121</v>
      </c>
      <c r="B26" s="15" t="s">
        <v>22</v>
      </c>
      <c r="C26" s="22" t="s">
        <v>11</v>
      </c>
      <c r="D26" s="17" t="s">
        <v>122</v>
      </c>
      <c r="E26" s="15" t="s">
        <v>123</v>
      </c>
      <c r="F26" s="23" t="s">
        <v>6</v>
      </c>
      <c r="G26" s="15" t="s">
        <v>124</v>
      </c>
    </row>
    <row r="27" customFormat="false" ht="23.85" hidden="false" customHeight="false" outlineLevel="0" collapsed="false">
      <c r="A27" s="15" t="s">
        <v>125</v>
      </c>
      <c r="B27" s="15" t="s">
        <v>22</v>
      </c>
      <c r="C27" s="22" t="s">
        <v>11</v>
      </c>
      <c r="D27" s="17" t="s">
        <v>126</v>
      </c>
      <c r="E27" s="15" t="s">
        <v>127</v>
      </c>
      <c r="F27" s="23" t="s">
        <v>6</v>
      </c>
      <c r="G27" s="15" t="s">
        <v>128</v>
      </c>
    </row>
    <row r="28" customFormat="false" ht="15" hidden="false" customHeight="false" outlineLevel="0" collapsed="false">
      <c r="A28" s="15" t="s">
        <v>129</v>
      </c>
      <c r="B28" s="15" t="s">
        <v>130</v>
      </c>
      <c r="C28" s="22" t="s">
        <v>11</v>
      </c>
      <c r="D28" s="17" t="s">
        <v>131</v>
      </c>
      <c r="E28" s="15" t="s">
        <v>132</v>
      </c>
      <c r="F28" s="23" t="s">
        <v>6</v>
      </c>
      <c r="G28" s="15" t="s">
        <v>133</v>
      </c>
    </row>
    <row r="29" customFormat="false" ht="23.85" hidden="false" customHeight="false" outlineLevel="0" collapsed="false">
      <c r="A29" s="15" t="s">
        <v>134</v>
      </c>
      <c r="B29" s="15" t="s">
        <v>22</v>
      </c>
      <c r="C29" s="23" t="s">
        <v>12</v>
      </c>
      <c r="D29" s="17" t="s">
        <v>135</v>
      </c>
      <c r="E29" s="15" t="s">
        <v>136</v>
      </c>
      <c r="F29" s="20" t="s">
        <v>3</v>
      </c>
      <c r="G29" s="15" t="s">
        <v>137</v>
      </c>
    </row>
    <row r="30" customFormat="false" ht="15" hidden="false" customHeight="false" outlineLevel="0" collapsed="false">
      <c r="A30" s="15" t="s">
        <v>138</v>
      </c>
      <c r="B30" s="15" t="s">
        <v>22</v>
      </c>
      <c r="C30" s="23" t="s">
        <v>12</v>
      </c>
      <c r="D30" s="17" t="s">
        <v>139</v>
      </c>
      <c r="E30" s="15" t="s">
        <v>140</v>
      </c>
      <c r="F30" s="18" t="s">
        <v>4</v>
      </c>
      <c r="G30" s="15" t="s">
        <v>141</v>
      </c>
    </row>
  </sheetData>
  <autoFilter ref="A1:G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24" t="s">
        <v>142</v>
      </c>
      <c r="B1" s="24" t="s">
        <v>143</v>
      </c>
      <c r="C1" s="24" t="s">
        <v>144</v>
      </c>
    </row>
    <row r="2" customFormat="false" ht="23.85" hidden="false" customHeight="false" outlineLevel="0" collapsed="false">
      <c r="A2" s="15" t="s">
        <v>145</v>
      </c>
      <c r="B2" s="15" t="s">
        <v>146</v>
      </c>
      <c r="C2" s="25" t="s">
        <v>147</v>
      </c>
    </row>
    <row r="3" customFormat="false" ht="23.85" hidden="false" customHeight="false" outlineLevel="0" collapsed="false">
      <c r="A3" s="15" t="s">
        <v>148</v>
      </c>
      <c r="B3" s="15" t="s">
        <v>149</v>
      </c>
      <c r="C3" s="25" t="s">
        <v>150</v>
      </c>
    </row>
    <row r="4" customFormat="false" ht="35.05" hidden="false" customHeight="false" outlineLevel="0" collapsed="false">
      <c r="A4" s="15" t="s">
        <v>151</v>
      </c>
      <c r="B4" s="15" t="s">
        <v>152</v>
      </c>
      <c r="C4" s="25" t="s">
        <v>153</v>
      </c>
    </row>
    <row r="5" customFormat="false" ht="23.85" hidden="false" customHeight="false" outlineLevel="0" collapsed="false">
      <c r="A5" s="15" t="s">
        <v>154</v>
      </c>
      <c r="B5" s="15" t="s">
        <v>155</v>
      </c>
      <c r="C5" s="25" t="s">
        <v>156</v>
      </c>
    </row>
    <row r="6" customFormat="false" ht="15" hidden="false" customHeight="false" outlineLevel="0" collapsed="false">
      <c r="A6" s="15" t="s">
        <v>157</v>
      </c>
      <c r="B6" s="15" t="s">
        <v>158</v>
      </c>
      <c r="C6" s="25" t="s">
        <v>159</v>
      </c>
    </row>
    <row r="7" customFormat="false" ht="23.85" hidden="false" customHeight="false" outlineLevel="0" collapsed="false">
      <c r="A7" s="15" t="s">
        <v>160</v>
      </c>
      <c r="B7" s="15" t="s">
        <v>161</v>
      </c>
      <c r="C7" s="25" t="s">
        <v>162</v>
      </c>
    </row>
    <row r="8" customFormat="false" ht="15" hidden="false" customHeight="false" outlineLevel="0" collapsed="false">
      <c r="A8" s="15" t="s">
        <v>163</v>
      </c>
      <c r="B8" s="15" t="s">
        <v>164</v>
      </c>
      <c r="C8" s="25" t="s">
        <v>165</v>
      </c>
    </row>
    <row r="9" customFormat="false" ht="23.85" hidden="false" customHeight="false" outlineLevel="0" collapsed="false">
      <c r="A9" s="15" t="s">
        <v>166</v>
      </c>
      <c r="B9" s="15" t="s">
        <v>167</v>
      </c>
      <c r="C9" s="25" t="s">
        <v>168</v>
      </c>
    </row>
    <row r="10" customFormat="false" ht="15" hidden="false" customHeight="false" outlineLevel="0" collapsed="false">
      <c r="A10" s="15" t="s">
        <v>169</v>
      </c>
      <c r="B10" s="15" t="s">
        <v>170</v>
      </c>
      <c r="C10" s="25" t="s">
        <v>171</v>
      </c>
    </row>
    <row r="11" customFormat="false" ht="23.85" hidden="false" customHeight="false" outlineLevel="0" collapsed="false">
      <c r="A11" s="15" t="s">
        <v>172</v>
      </c>
      <c r="B11" s="15" t="s">
        <v>173</v>
      </c>
      <c r="C11" s="2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4" t="s">
        <v>175</v>
      </c>
      <c r="B1" s="24" t="s">
        <v>176</v>
      </c>
    </row>
    <row r="2" customFormat="false" ht="15" hidden="false" customHeight="false" outlineLevel="0" collapsed="false">
      <c r="A2" s="17" t="s">
        <v>177</v>
      </c>
      <c r="B2" s="15" t="s">
        <v>178</v>
      </c>
    </row>
    <row r="3" customFormat="false" ht="23.85" hidden="false" customHeight="false" outlineLevel="0" collapsed="false">
      <c r="A3" s="17" t="s">
        <v>179</v>
      </c>
      <c r="B3" s="15" t="s">
        <v>180</v>
      </c>
    </row>
    <row r="4" customFormat="false" ht="23.85" hidden="false" customHeight="false" outlineLevel="0" collapsed="false">
      <c r="A4" s="17" t="s">
        <v>181</v>
      </c>
      <c r="B4" s="15" t="s">
        <v>182</v>
      </c>
    </row>
    <row r="5" customFormat="false" ht="15" hidden="false" customHeight="false" outlineLevel="0" collapsed="false">
      <c r="A5" s="17" t="s">
        <v>183</v>
      </c>
      <c r="B5" s="15" t="s">
        <v>184</v>
      </c>
    </row>
    <row r="6" customFormat="false" ht="15" hidden="false" customHeight="false" outlineLevel="0" collapsed="false">
      <c r="A6" s="17" t="s">
        <v>185</v>
      </c>
      <c r="B6" s="15" t="s">
        <v>186</v>
      </c>
    </row>
    <row r="7" customFormat="false" ht="15" hidden="false" customHeight="false" outlineLevel="0" collapsed="false">
      <c r="A7" s="17" t="s">
        <v>187</v>
      </c>
      <c r="B7" s="15" t="s">
        <v>188</v>
      </c>
    </row>
    <row r="8" customFormat="false" ht="15" hidden="false" customHeight="false" outlineLevel="0" collapsed="false">
      <c r="A8" s="17" t="s">
        <v>189</v>
      </c>
      <c r="B8" s="15" t="s">
        <v>190</v>
      </c>
    </row>
    <row r="9" customFormat="false" ht="15" hidden="false" customHeight="false" outlineLevel="0" collapsed="false">
      <c r="A9" s="17" t="s">
        <v>191</v>
      </c>
      <c r="B9" s="15" t="s">
        <v>192</v>
      </c>
    </row>
    <row r="10" customFormat="false" ht="15" hidden="false" customHeight="false" outlineLevel="0" collapsed="false">
      <c r="A10" s="17" t="s">
        <v>193</v>
      </c>
      <c r="B10" s="15" t="s">
        <v>194</v>
      </c>
    </row>
    <row r="11" customFormat="false" ht="15" hidden="false" customHeight="false" outlineLevel="0" collapsed="false">
      <c r="A11" s="17" t="s">
        <v>195</v>
      </c>
      <c r="B11" s="15" t="s">
        <v>196</v>
      </c>
    </row>
    <row r="12" customFormat="false" ht="15" hidden="false" customHeight="false" outlineLevel="0" collapsed="false">
      <c r="A12" s="17" t="s">
        <v>197</v>
      </c>
      <c r="B12" s="15" t="s">
        <v>198</v>
      </c>
    </row>
    <row r="13" customFormat="false" ht="15" hidden="false" customHeight="false" outlineLevel="0" collapsed="false">
      <c r="A13" s="17" t="s">
        <v>199</v>
      </c>
      <c r="B13" s="15" t="s">
        <v>200</v>
      </c>
    </row>
    <row r="14" customFormat="false" ht="15" hidden="false" customHeight="false" outlineLevel="0" collapsed="false">
      <c r="A14" s="17" t="s">
        <v>201</v>
      </c>
      <c r="B14" s="15" t="s">
        <v>202</v>
      </c>
    </row>
    <row r="15" customFormat="false" ht="15" hidden="false" customHeight="false" outlineLevel="0" collapsed="false">
      <c r="A15" s="17" t="s">
        <v>203</v>
      </c>
      <c r="B15" s="15" t="s">
        <v>204</v>
      </c>
    </row>
    <row r="16" customFormat="false" ht="15" hidden="false" customHeight="false" outlineLevel="0" collapsed="false">
      <c r="A16" s="17" t="s">
        <v>205</v>
      </c>
      <c r="B16" s="15" t="s">
        <v>206</v>
      </c>
    </row>
    <row r="17" customFormat="false" ht="15" hidden="false" customHeight="false" outlineLevel="0" collapsed="false">
      <c r="A17" s="17" t="s">
        <v>207</v>
      </c>
      <c r="B17" s="15" t="s">
        <v>208</v>
      </c>
    </row>
    <row r="18" customFormat="false" ht="15" hidden="false" customHeight="false" outlineLevel="0" collapsed="false">
      <c r="A18" s="17" t="s">
        <v>209</v>
      </c>
      <c r="B18" s="15" t="s">
        <v>210</v>
      </c>
    </row>
    <row r="19" customFormat="false" ht="15" hidden="false" customHeight="false" outlineLevel="0" collapsed="false">
      <c r="A19" s="17" t="s">
        <v>211</v>
      </c>
      <c r="B19" s="15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2026-10-30T16:58:42Z</dcterms:created>
  <dc:creator>openpyxl</dc:creator>
  <dc:description/>
  <dc:language>en-US</dc:language>
  <cp:lastModifiedBy/>
  <dcterms:modified xsi:type="dcterms:W3CDTF">2026-10-30T16:58:42Z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