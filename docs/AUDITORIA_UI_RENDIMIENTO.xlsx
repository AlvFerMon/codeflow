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Problemas" sheetId="2" state="visible" r:id="rId4"/>
    <sheet name="Pantallas" sheetId="3" state="visible" r:id="rId5"/>
    <sheet name="Component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<sst xmlns="http://schemas.openxmlformats.org/spreadsheetml/2006/main" count="587" uniqueCount="416">
  <si>
    <t xml:space="preserve">CodeFlow · Auditoría UI/UX y rendimiento (Fase 1)</t>
  </si>
  <si>
    <t xml:space="preserve">9 de octubre de 2026 · Sin cambios de código: solo análisis y medición.</t>
  </si>
  <si>
    <t xml:space="preserve">Frontend</t>
  </si>
  <si>
    <t xml:space="preserve">Laravel Blade renderizado en el servidor + Tailwind CSS 4 (Vite). JS vanilla: 5 KB (solo la subida de archivos). Sin frameworks ni librerías visuales. CSS 44 KB (≈9 KB comprimido).</t>
  </si>
  <si>
    <t xml:space="preserve">Organización UI</t>
  </si>
  <si>
    <t xml:space="preserve">Layout común (cabecera oscura + contenido), 21 pantallas, 32 componentes Blade (algunos duplicados por módulo), cabecera de repositorio con pestañas.</t>
  </si>
  <si>
    <t xml:space="preserve">Lo que ya está bien</t>
  </si>
  <si>
    <t xml:space="preserve">Paginación en proyectos (18), issues (25), PRs (25), commits (30), actividad (30), notificaciones (20) y explorar (20). Sin consultas N+1: relaciones precargadas con columnas concretas. Tiempos de 40-130 ms. Autorización con policies en todas las rutas.</t>
  </si>
  <si>
    <t xml:space="preserve">Lo más urgente</t>
  </si>
  <si>
    <t xml:space="preserve">R01 diff sin límite (6,3 MB en un commit grande) · R02 PR recalcula grafo/diff 3 veces · R03 comentarios sin paginar · R04 dashboard con todos los proyectos · U01 errores en inglés · U02 navegación y pestañas de proyecto · U03 ayudas para no técnicos.</t>
  </si>
  <si>
    <t xml:space="preserve">Propuesta de orden</t>
  </si>
  <si>
    <t xml:space="preserve">Fase 2: U01, U02 (layout), U03, U04, U05, U06, U07, U08, A01-A04. Fase 3, pantalla a pantalla: Dashboard (R04), Proyectos (R09), Proyecto (R08), Código (R06), Ramas (R07), Commits (R05), Issues (R03, R10), PRs (R01-R03), Miembros (R11). Fase 4: R05, R06, R10, R12-R15 y caché de diffs.</t>
  </si>
  <si>
    <t xml:space="preserve">Problemas por prioridad</t>
  </si>
  <si>
    <t xml:space="preserve">Prioridad</t>
  </si>
  <si>
    <t xml:space="preserve">Nº problemas</t>
  </si>
  <si>
    <t xml:space="preserve">Alta</t>
  </si>
  <si>
    <t xml:space="preserve">Media</t>
  </si>
  <si>
    <t xml:space="preserve">Baja</t>
  </si>
  <si>
    <t xml:space="preserve">Total</t>
  </si>
  <si>
    <t xml:space="preserve">Problemas por área</t>
  </si>
  <si>
    <t xml:space="preserve">Área</t>
  </si>
  <si>
    <t xml:space="preserve">Rendimiento / datos</t>
  </si>
  <si>
    <t xml:space="preserve">API</t>
  </si>
  <si>
    <t xml:space="preserve">UX / errores</t>
  </si>
  <si>
    <t xml:space="preserve">UX / navegación</t>
  </si>
  <si>
    <t xml:space="preserve">UX / usuarios no técnicos</t>
  </si>
  <si>
    <t xml:space="preserve">UX / feedback</t>
  </si>
  <si>
    <t xml:space="preserve">UX / estados vacíos</t>
  </si>
  <si>
    <t xml:space="preserve">UX / acciones destructivas</t>
  </si>
  <si>
    <t xml:space="preserve">Design system</t>
  </si>
  <si>
    <t xml:space="preserve">UX / formularios</t>
  </si>
  <si>
    <t xml:space="preserve">UX / código</t>
  </si>
  <si>
    <t xml:space="preserve">Accesibilidad</t>
  </si>
  <si>
    <t xml:space="preserve">ID</t>
  </si>
  <si>
    <t xml:space="preserve">Pantalla</t>
  </si>
  <si>
    <t xml:space="preserve">Problema</t>
  </si>
  <si>
    <t xml:space="preserve">Evidencia (medida)</t>
  </si>
  <si>
    <t xml:space="preserve">Impacto</t>
  </si>
  <si>
    <t xml:space="preserve">Solución propuesta</t>
  </si>
  <si>
    <t xml:space="preserve">Fase</t>
  </si>
  <si>
    <t xml:space="preserve">Archivos afectados</t>
  </si>
  <si>
    <t xml:space="preserve">R01</t>
  </si>
  <si>
    <t xml:space="preserve">Detalle de commit y pestaña Archivos del PR</t>
  </si>
  <si>
    <t xml:space="preserve">El diff se renderiza completo, sin límite de archivos ni de líneas.</t>
  </si>
  <si>
    <t xml:space="preserve">Commit con 150 archivos nuevos: HTML de 6,3 MB y 12.450 filas de tabla (servidor 0,19 s; el navegador tarda mucho más en pintarlo).</t>
  </si>
  <si>
    <t xml:space="preserve">Muy alto: la pantalla puede bloquear el navegador en commits o PR grandes.</t>
  </si>
  <si>
    <t xml:space="preserve">Mostrar primero la lista de archivos (ruta, +/−) y cargar el diff de cada archivo bajo demanda al desplegarlo (fragmento HTML por petición). Mostrar como máximo ~400 líneas por archivo con «Ver más». Sin librerías.</t>
  </si>
  <si>
    <t xml:space="preserve">3-4</t>
  </si>
  <si>
    <t xml:space="preserve">Web/Code/CommitController@show, Web/Collab/PullRequestController@show, components/diff.blade.php, VcsService::diff</t>
  </si>
  <si>
    <t xml:space="preserve">R02</t>
  </si>
  <si>
    <t xml:space="preserve">Detalle de PR</t>
  </si>
  <si>
    <t xml:space="preserve">Se calcula el diff completo aunque se esté en la pestaña Conversación (solo para el contador de archivos). El grafo de commits se carga 3 veces y el árbol de archivos 3 veces en la misma petición.</t>
  </si>
  <si>
    <t xml:space="preserve">29 consultas, 128 ms (la pantalla más lenta).</t>
  </si>
  <si>
    <t xml:space="preserve">Alto: coste que crece con el tamaño del repositorio y del PR.</t>
  </si>
  <si>
    <t xml:space="preserve">Memorizar graph() y tree() por petición en VcsService (ya es singleton). Contador de archivos comparando árboles sin calcular líneas. Cachear el resultado del diff por pareja de commits (los commits son inmutables: no hace falta invalidar).</t>
  </si>
  <si>
    <t xml:space="preserve">4</t>
  </si>
  <si>
    <t xml:space="preserve">Web/Collab/PullRequestController@show, PullRequestService::files/mergeability, VcsService</t>
  </si>
  <si>
    <t xml:space="preserve">R03</t>
  </si>
  <si>
    <t xml:space="preserve">Detalle de issue y de PR</t>
  </si>
  <si>
    <t xml:space="preserve">Se cargan todos los comentarios y toda la actividad, sin paginar ni limitar.</t>
  </si>
  <si>
    <t xml:space="preserve">Issue con 43 comentarios: 67 KB de HTML; PR con 42 comentarios: 76 KB. Crece sin límite.</t>
  </si>
  <si>
    <t xml:space="preserve">Alto con conversaciones largas.</t>
  </si>
  <si>
    <t xml:space="preserve">Mostrar los 20 comentarios más recientes con «Cargar comentarios anteriores» (paginación por id). Limitar el historial de eventos a la misma ventana temporal.</t>
  </si>
  <si>
    <t xml:space="preserve">3</t>
  </si>
  <si>
    <t xml:space="preserve">Web/Collab/IssueController@show, Web/Collab/PullRequestController@show, issues/show, pulls/show</t>
  </si>
  <si>
    <t xml:space="preserve">R04</t>
  </si>
  <si>
    <t xml:space="preserve">Dashboard</t>
  </si>
  <si>
    <t xml:space="preserve">Carga TODOS los proyectos del usuario (get() sin límite) y no muestra issues ni PRs pendientes.</t>
  </si>
  <si>
    <t xml:space="preserve">31 proyectos: 67 KB de HTML; 179 ms en frío.</t>
  </si>
  <si>
    <t xml:space="preserve">Medio-alto: crece con cada proyecto; no responde a «¿qué está pasando?».</t>
  </si>
  <si>
    <t xml:space="preserve">Últimos 5 proyectos + «Ver todos»; bloques «Issues asignadas a mí» (5) y «PRs que esperan mi revisión» (5); actividad: últimas 10.</t>
  </si>
  <si>
    <t xml:space="preserve">Web/Account/HomeController, home/dashboard.blade.php</t>
  </si>
  <si>
    <t xml:space="preserve">R05</t>
  </si>
  <si>
    <t xml:space="preserve">Historial de commits</t>
  </si>
  <si>
    <t xml:space="preserve">Carga el grafo completo y hace COUNT + SELECT con un IN de todos los ancestros para paginar.</t>
  </si>
  <si>
    <t xml:space="preserve">351 commits: IN con 351 ids en 2 consultas. Con miles de commits la consulta crece sin límite.</t>
  </si>
  <si>
    <t xml:space="preserve">Medio: escala mal en repos con mucho historial.</t>
  </si>
  <si>
    <t xml:space="preserve">Paginar la lista de ids en PHP (array_slice) y consultar solo los 30 commits de la página con las columnas necesarias.</t>
  </si>
  <si>
    <t xml:space="preserve">Web/Code/CommitController@index, API CommitController@branchHistory, VcsService::historyIds</t>
  </si>
  <si>
    <t xml:space="preserve">R06</t>
  </si>
  <si>
    <t xml:space="preserve">Explorador de código</t>
  </si>
  <si>
    <t xml:space="preserve">Para mostrar una carpeta se cargan todas las rutas del commit; además se carga el grafo completo solo para mostrar el nº de commits.</t>
  </si>
  <si>
    <t xml:space="preserve">Repo con 456 archivos: 17 consultas, 102 ms.</t>
  </si>
  <si>
    <t xml:space="preserve">Medio: en repos con miles de archivos cada carpeta lee el árbol entero.</t>
  </si>
  <si>
    <t xml:space="preserve">Filtrar commit_files por prefijo de carpeta en SQL; cachear el nº de commits por head_commit_id (se invalida solo al cambiar el head).</t>
  </si>
  <si>
    <t xml:space="preserve">Web/Code/RepositoryController@show, VcsService::tree</t>
  </si>
  <si>
    <t xml:space="preserve">R07</t>
  </si>
  <si>
    <t xml:space="preserve">Ramas</t>
  </si>
  <si>
    <t xml:space="preserve">Lista sin paginar; por cada rama se calcula commits por delante/detrás y se carga su último commit.</t>
  </si>
  <si>
    <t xml:space="preserve">19 ramas: 108 KB de HTML (5,7 KB por fila).</t>
  </si>
  <si>
    <t xml:space="preserve">Medio.</t>
  </si>
  <si>
    <t xml:space="preserve">Paginar (20) y mostrar lo pedido: nombre, principal, último commit y fecha. Delante/detrás solo si se cachea por head.</t>
  </si>
  <si>
    <t xml:space="preserve">Web/Code/BranchController, branches/index.blade.php, API BranchController</t>
  </si>
  <si>
    <t xml:space="preserve">R08</t>
  </si>
  <si>
    <t xml:space="preserve">Proyecto (detalle)</t>
  </si>
  <si>
    <t xml:space="preserve">Carga todos los repositorios (SELECT *, incluida la clave cifrada) y todos los miembros. No muestra rama principal ni último commit de cada repositorio.</t>
  </si>
  <si>
    <t xml:space="preserve">14 consultas; listas completas.</t>
  </si>
  <si>
    <t xml:space="preserve">Medio con proyectos grandes.</t>
  </si>
  <si>
    <t xml:space="preserve">Repositorios paginados (12) con columnas concretas y último commit mediante subconsulta; miembros: contador + 5 avatares + enlace.</t>
  </si>
  <si>
    <t xml:space="preserve">Web/Account/ProjectController@show, projects/show.blade.php</t>
  </si>
  <si>
    <t xml:space="preserve">R09</t>
  </si>
  <si>
    <t xml:space="preserve">Lista de proyectos</t>
  </si>
  <si>
    <t xml:space="preserve">Solo muestra el nº de repositorios; faltan issues abiertas y PRs pendientes (punto 13).</t>
  </si>
  <si>
    <t xml:space="preserve">Paginación correcta (18).</t>
  </si>
  <si>
    <t xml:space="preserve">Bajo en rendimiento, medio en UX.</t>
  </si>
  <si>
    <t xml:space="preserve">withCount de issues abiertas y PRs pendientes mediante relaciones hasManyThrough (Proyecto → Repositorio → Issue/PR).</t>
  </si>
  <si>
    <t xml:space="preserve">Web/Account/ProjectController@index, Models/Project</t>
  </si>
  <si>
    <t xml:space="preserve">R10</t>
  </si>
  <si>
    <t xml:space="preserve">Lista de issues</t>
  </si>
  <si>
    <t xml:space="preserve">Para el filtro de etiquetas se lee la columna labels de TODAS las issues del repositorio. Los recuentos de las pestañas se repiten (3 consultas iguales).</t>
  </si>
  <si>
    <t xml:space="preserve">15 consultas.</t>
  </si>
  <si>
    <t xml:space="preserve">Medio con miles de issues.</t>
  </si>
  <si>
    <t xml:space="preserve">Recuentos en una sola consulta (SUM con CASE). Etiquetas: lista DISTINCT cacheada o tabla labels (prevista en la arquitectura).</t>
  </si>
  <si>
    <t xml:space="preserve">Web/Collab/IssueController@index</t>
  </si>
  <si>
    <t xml:space="preserve">R11</t>
  </si>
  <si>
    <t xml:space="preserve">Miembros</t>
  </si>
  <si>
    <t xml:space="preserve">Sin paginar (web y API).</t>
  </si>
  <si>
    <t xml:space="preserve">Proyecto pequeño: correcto; crece sin límite.</t>
  </si>
  <si>
    <t xml:space="preserve">Bajo-medio.</t>
  </si>
  <si>
    <t xml:space="preserve">Paginar (25) con búsqueda por nombre o email.</t>
  </si>
  <si>
    <t xml:space="preserve">Web/Account/MemberController, API MemberController</t>
  </si>
  <si>
    <t xml:space="preserve">R12</t>
  </si>
  <si>
    <t xml:space="preserve">Varias</t>
  </si>
  <si>
    <t xml:space="preserve">Endpoints sin paginar: repositorios de un proyecto, ramas, comentarios de issue/PR y miembros. El detalle de issue/PR incluye todos sus comentarios.</t>
  </si>
  <si>
    <t xml:space="preserve">Revisión de los controladores de la API.</t>
  </si>
  <si>
    <t xml:space="preserve">Medio: respuestas que crecen sin límite (afecta a Android).</t>
  </si>
  <si>
    <t xml:space="preserve">paginate/simplePaginate y comentarios en su propio endpoint paginado. Ajustar la app Android (ya admite paginador).</t>
  </si>
  <si>
    <t xml:space="preserve">Http/Controllers/{RepositoryController,BranchController,IssueController,PullRequestController,MemberController}</t>
  </si>
  <si>
    <t xml:space="preserve">R13</t>
  </si>
  <si>
    <t xml:space="preserve">Todas (cabecera)</t>
  </si>
  <si>
    <t xml:space="preserve">El contador de notificaciones no leídas se calcula en cada página (read_at sin índice) y se repite en /notifications.</t>
  </si>
  <si>
    <t xml:space="preserve">3-5 ms por página con 1.600 notificaciones.</t>
  </si>
  <si>
    <t xml:space="preserve">Bajo ahora; crece con el uso.</t>
  </si>
  <si>
    <t xml:space="preserve">Índice compuesto (notifiable_type, notifiable_id, read_at) y reutilizar el valor dentro de la misma petición.</t>
  </si>
  <si>
    <t xml:space="preserve">layouts/app.blade.php, nueva migración</t>
  </si>
  <si>
    <t xml:space="preserve">R14</t>
  </si>
  <si>
    <t xml:space="preserve">Explorar</t>
  </si>
  <si>
    <t xml:space="preserve">El límite de peticiones usa la caché en base de datos: 6 consultas extra por petición.</t>
  </si>
  <si>
    <t xml:space="preserve">15 consultas en una página sencilla.</t>
  </si>
  <si>
    <t xml:space="preserve">Bajo.</t>
  </si>
  <si>
    <t xml:space="preserve">Aplicar el límite solo a invitados (los usuarios con sesión ya están identificados).</t>
  </si>
  <si>
    <t xml:space="preserve">routes/web/account.php</t>
  </si>
  <si>
    <t xml:space="preserve">R15</t>
  </si>
  <si>
    <t xml:space="preserve">SELECT * en listados (repositorios con clave cifrada, issues y PRs completos en listas).</t>
  </si>
  <si>
    <t xml:space="preserve">Log SQL de la auditoría.</t>
  </si>
  <si>
    <t xml:space="preserve">select() de las columnas que muestra cada lista.</t>
  </si>
  <si>
    <t xml:space="preserve">Controladores web de listados</t>
  </si>
  <si>
    <t xml:space="preserve">U01</t>
  </si>
  <si>
    <t xml:space="preserve">Errores 403/404/419/500</t>
  </si>
  <si>
    <t xml:space="preserve">Se muestran las páginas de error de Laravel en inglés («Forbidden», «Not Found», «Page Expired», «Server Error»).</t>
  </si>
  <si>
    <t xml:space="preserve">Comprobado: /repositories/9999 → «Not Found»; sesión caducada → «Page Expired».</t>
  </si>
  <si>
    <t xml:space="preserve">Alto: confunde al usuario no técnico.</t>
  </si>
  <si>
    <t xml:space="preserve">Vistas errors/403, 404, 419, 429, 500 y 503 en español, con el layout y un botón «Volver» o «Ir al inicio». Los detalles siguen en el log.</t>
  </si>
  <si>
    <t xml:space="preserve">2</t>
  </si>
  <si>
    <t xml:space="preserve">resources/views/errors/* (nuevas)</t>
  </si>
  <si>
    <t xml:space="preserve">U02</t>
  </si>
  <si>
    <t xml:space="preserve">Global y proyecto</t>
  </si>
  <si>
    <t xml:space="preserve">La navegación no es la pedida: falta Dashboard explícito, Actividad global y Configuración de usuario. Dentro de un proyecto no hay pestañas (Resumen, Código, Issues, PRs, Actividad, Configuración): issues y PRs solo existen por repositorio.</t>
  </si>
  <si>
    <t xml:space="preserve">Revisión de layouts/app y de las rutas.</t>
  </si>
  <si>
    <t xml:space="preserve">Alto: el usuario no sabe dónde está ni encuentra las issues del proyecto.</t>
  </si>
  <si>
    <t xml:space="preserve">Barra principal: Dashboard, Proyectos, Actividad, Notificaciones y menú de usuario (Perfil, Configuración). Pestañas de proyecto; Issues y PRs del proyecto agregan las de sus repositorios (lista paginada con filtro por repositorio).</t>
  </si>
  <si>
    <t xml:space="preserve">2-3</t>
  </si>
  <si>
    <t xml:space="preserve">layouts/app.blade.php, projects/*, routes/web/*.php</t>
  </si>
  <si>
    <t xml:space="preserve">U03</t>
  </si>
  <si>
    <t xml:space="preserve">Ramas, commits, PRs, formularios</t>
  </si>
  <si>
    <t xml:space="preserve">No hay explicaciones de los conceptos (rama, commit, pull request, fusionar, revisión).</t>
  </si>
  <si>
    <t xml:space="preserve">No aparece ningún texto de ayuda en las vistas.</t>
  </si>
  <si>
    <t xml:space="preserve">Alto para el público objetivo.</t>
  </si>
  <si>
    <t xml:space="preserve">Componente x-help: una frase corta junto al título («Una rama es una versión independiente del código…»), accesible con teclado.</t>
  </si>
  <si>
    <t xml:space="preserve">components/help (nuevo) + vistas de ramas, commits, PRs y subida</t>
  </si>
  <si>
    <t xml:space="preserve">U04</t>
  </si>
  <si>
    <t xml:space="preserve">Formularios</t>
  </si>
  <si>
    <t xml:space="preserve">Al enviar no hay estado de carga y los botones no se desactivan: se puede enviar dos veces (fusionar, crear, comentar).</t>
  </si>
  <si>
    <t xml:space="preserve">Revisión de las vistas: solo la subida tiene barra de progreso.</t>
  </si>
  <si>
    <t xml:space="preserve">Medio: dobles envíos y sensación de lentitud.</t>
  </si>
  <si>
    <t xml:space="preserve">Script de unas 30 líneas: al enviar, desactiva el botón y muestra «Guardando…». Sin librerías.</t>
  </si>
  <si>
    <t xml:space="preserve">resources/js/app.js, components/button</t>
  </si>
  <si>
    <t xml:space="preserve">U05</t>
  </si>
  <si>
    <t xml:space="preserve">Muchos estados vacíos solo informan («No hay commits», «Este repositorio está vacío») sin indicar el siguiente paso.</t>
  </si>
  <si>
    <t xml:space="preserve">22 textos de x-empty revisados.</t>
  </si>
  <si>
    <t xml:space="preserve">x-empty con descripción y botón opcional (Crear proyecto, Subir archivos, Nueva issue, Crear rama…).</t>
  </si>
  <si>
    <t xml:space="preserve">components/empty + vistas</t>
  </si>
  <si>
    <t xml:space="preserve">U06</t>
  </si>
  <si>
    <t xml:space="preserve">Eliminar proyecto, fusionar, cerrar PR, eliminar archivos y ramas</t>
  </si>
  <si>
    <t xml:space="preserve">Se usa confirm() del navegador (8 usos): no explica bien la consecuencia y no sigue el estilo de la aplicación.</t>
  </si>
  <si>
    <t xml:space="preserve">8 llamadas a confirm().</t>
  </si>
  <si>
    <t xml:space="preserve">Componente x-confirm con el elemento nativo dialog (sin librerías): título, consecuencia y botón de peligro. Mantener escribir el nombre para borrar repositorios.</t>
  </si>
  <si>
    <t xml:space="preserve">components/confirm (nuevo) + vistas con confirm()</t>
  </si>
  <si>
    <t xml:space="preserve">U07</t>
  </si>
  <si>
    <t xml:space="preserve">Componentes</t>
  </si>
  <si>
    <t xml:space="preserve">Componentes duplicados por módulo (2 paginaciones, 2 avatares, markdown en línea y como componente). Faltan pestañas, modal, toast, alerta, tabla, skeleton y ayuda.</t>
  </si>
  <si>
    <t xml:space="preserve">32 componentes; ver la hoja Componentes.</t>
  </si>
  <si>
    <t xml:space="preserve">Medio: mantenimiento y coherencia visual.</t>
  </si>
  <si>
    <t xml:space="preserve">Unificar en x-pagination, x-avatar, x-markdown, x-tabs, x-modal, x-alert, x-table y x-help; colores y espaciados como tokens en @theme.</t>
  </si>
  <si>
    <t xml:space="preserve">resources/views/components/*, resources/css/app.css</t>
  </si>
  <si>
    <t xml:space="preserve">U08</t>
  </si>
  <si>
    <t xml:space="preserve">Mensajes flash</t>
  </si>
  <si>
    <t xml:space="preserve">Los mensajes aparecen arriba sin botón de cerrar ni role="status".</t>
  </si>
  <si>
    <t xml:space="preserve">layouts/app y components/flash.</t>
  </si>
  <si>
    <t xml:space="preserve">Alerta/toast con cierre, role="status" para éxito y role="alert" para error.</t>
  </si>
  <si>
    <t xml:space="preserve">components/flash</t>
  </si>
  <si>
    <t xml:space="preserve">U09</t>
  </si>
  <si>
    <t xml:space="preserve">El formulario de revisión y el de comentario usan el mismo campo «body»: tras un error, el texto aparece en los dos. No se puede editar un PR desde la web.</t>
  </si>
  <si>
    <t xml:space="preserve">Indicado por el agente que construyó el módulo.</t>
  </si>
  <si>
    <t xml:space="preserve">Nombres de campo distintos; formulario de edición de título, descripción y revisores.</t>
  </si>
  <si>
    <t xml:space="preserve">pulls/show.blade.php, Web/Collab/PullRequestController</t>
  </si>
  <si>
    <t xml:space="preserve">U10</t>
  </si>
  <si>
    <t xml:space="preserve">Commits</t>
  </si>
  <si>
    <t xml:space="preserve">No se puede ver el código tal como estaba en un commit antiguo (solo por ramas).</t>
  </si>
  <si>
    <t xml:space="preserve">Rutas de código solo admiten ?branch.</t>
  </si>
  <si>
    <t xml:space="preserve">Aceptar ?commit=sha en el explorador (solo lectura).</t>
  </si>
  <si>
    <t xml:space="preserve">Web/Code/RepositoryController</t>
  </si>
  <si>
    <t xml:space="preserve">A01</t>
  </si>
  <si>
    <t xml:space="preserve">Contraste insuficiente: text-slate-400 (≈2,6:1 sobre blanco; AA exige 4,5:1) en fechas, metadatos, números de línea y pie.</t>
  </si>
  <si>
    <t xml:space="preserve">43 usos en 22 vistas.</t>
  </si>
  <si>
    <t xml:space="preserve">Usar slate-500 o slate-600 para texto informativo; slate-400 solo en elementos decorativos.</t>
  </si>
  <si>
    <t xml:space="preserve">22 vistas</t>
  </si>
  <si>
    <t xml:space="preserve">A02</t>
  </si>
  <si>
    <t xml:space="preserve">Cabecera</t>
  </si>
  <si>
    <t xml:space="preserve">Falta «Saltar al contenido». La navegación no tiene aria-label. La campana de notificaciones solo tiene title (no anuncia cuántas hay sin leer). El menú de usuario no indica si está abierto.</t>
  </si>
  <si>
    <t xml:space="preserve">Revisión de layouts/app.</t>
  </si>
  <si>
    <t xml:space="preserve">Enlace para saltar al contenido, aria-label en la navegación, «Notificaciones (N sin leer)» como texto accesible y aria-expanded en el menú.</t>
  </si>
  <si>
    <t xml:space="preserve">layouts/app.blade.php</t>
  </si>
  <si>
    <t xml:space="preserve">A03</t>
  </si>
  <si>
    <t xml:space="preserve">Botones que solo tienen icono (✕ al quitar archivos, iconos sueltos) sin aria-label; algunos filtros sin etiqueta visible.</t>
  </si>
  <si>
    <t xml:space="preserve">Revisión de vistas y de upload.js.</t>
  </si>
  <si>
    <t xml:space="preserve">aria-label en todos los botones de icono y etiqueta (visible o sr-only) en todos los campos.</t>
  </si>
  <si>
    <t xml:space="preserve">Vistas de listas, resources/js/upload.js</t>
  </si>
  <si>
    <t xml:space="preserve">A04</t>
  </si>
  <si>
    <t xml:space="preserve">Los enlaces y pestañas no tienen un foco visible propio; en la cabecera oscura el contorno del navegador apenas se ve.</t>
  </si>
  <si>
    <t xml:space="preserve">Solo 26 focus:ring/focus-visible, casi todos en botones.</t>
  </si>
  <si>
    <t xml:space="preserve">focus-visible:ring en enlaces de la cabecera, pestañas y filas clicables.</t>
  </si>
  <si>
    <t xml:space="preserve">layouts/app, components</t>
  </si>
  <si>
    <t xml:space="preserve">F01</t>
  </si>
  <si>
    <t xml:space="preserve">General</t>
  </si>
  <si>
    <t xml:space="preserve">Estado actual correcto: Blade renderizado en el servidor, Tailwind 4 (CSS de 44 KB, unos 9 KB comprimido) y 5 KB de JavaScript sin frameworks. La web no hace peticiones a la API, así que no hay peticiones duplicadas.</t>
  </si>
  <si>
    <t xml:space="preserve">Revisión de package.json y public/build.</t>
  </si>
  <si>
    <t xml:space="preserve">Positivo.</t>
  </si>
  <si>
    <t xml:space="preserve">Mantenerlo sin Alpine, Vue ni React. Para cargar secciones bajo demanda (diff, comentarios) usar fetch de fragmentos HTML de Blade con skeleton (0 dependencias).</t>
  </si>
  <si>
    <t xml:space="preserve">2-4</t>
  </si>
  <si>
    <t xml:space="preserve">resources/js/*</t>
  </si>
  <si>
    <t xml:space="preserve">Ruta</t>
  </si>
  <si>
    <t xml:space="preserve">Servidor (ms)</t>
  </si>
  <si>
    <t xml:space="preserve">Consultas SQL</t>
  </si>
  <si>
    <t xml:space="preserve">HTML</t>
  </si>
  <si>
    <t xml:space="preserve">Qué carga</t>
  </si>
  <si>
    <t xml:space="preserve">Consultas a revisar</t>
  </si>
  <si>
    <t xml:space="preserve">Colecciones sin límite</t>
  </si>
  <si>
    <t xml:space="preserve">/</t>
  </si>
  <si>
    <t xml:space="preserve">67 KB</t>
  </si>
  <si>
    <t xml:space="preserve">Todos los proyectos del usuario (sin límite) + 10 actividades + 5 notificaciones</t>
  </si>
  <si>
    <t xml:space="preserve">projects.* con recuento de repos (todos), activity_logs (10), notifications (5)</t>
  </si>
  <si>
    <t xml:space="preserve">Proyectos sin límite</t>
  </si>
  <si>
    <t xml:space="preserve">Proyectos</t>
  </si>
  <si>
    <t xml:space="preserve">/projects</t>
  </si>
  <si>
    <t xml:space="preserve">31 KB</t>
  </si>
  <si>
    <t xml:space="preserve">18 proyectos/página con propietario y nº de repos</t>
  </si>
  <si>
    <t xml:space="preserve">Paginada</t>
  </si>
  <si>
    <t xml:space="preserve">—</t>
  </si>
  <si>
    <t xml:space="preserve">Proyecto</t>
  </si>
  <si>
    <t xml:space="preserve">/projects/1</t>
  </si>
  <si>
    <t xml:space="preserve">18 KB</t>
  </si>
  <si>
    <t xml:space="preserve">Proyecto, 8 actividades, TODOS los repos, TODOS los miembros</t>
  </si>
  <si>
    <t xml:space="preserve">repositories SELECT * sin límite; project_members sin límite</t>
  </si>
  <si>
    <t xml:space="preserve">Repositorios y miembros</t>
  </si>
  <si>
    <t xml:space="preserve">/projects/1/members</t>
  </si>
  <si>
    <t xml:space="preserve">Todos los miembros</t>
  </si>
  <si>
    <t xml:space="preserve">project_members sin límite</t>
  </si>
  <si>
    <t xml:space="preserve">Actividad del proyecto</t>
  </si>
  <si>
    <t xml:space="preserve">/projects/1/activity</t>
  </si>
  <si>
    <t xml:space="preserve">30 actividades/página</t>
  </si>
  <si>
    <t xml:space="preserve">Notificaciones</t>
  </si>
  <si>
    <t xml:space="preserve">/notifications</t>
  </si>
  <si>
    <t xml:space="preserve">60 KB</t>
  </si>
  <si>
    <t xml:space="preserve">20 notificaciones/página</t>
  </si>
  <si>
    <t xml:space="preserve">count de no leídas repetido</t>
  </si>
  <si>
    <t xml:space="preserve">/explore</t>
  </si>
  <si>
    <t xml:space="preserve">20 repos públicos/página</t>
  </si>
  <si>
    <t xml:space="preserve">6 consultas de caché por el límite de peticiones</t>
  </si>
  <si>
    <t xml:space="preserve">Perfil</t>
  </si>
  <si>
    <t xml:space="preserve">/profile</t>
  </si>
  <si>
    <t xml:space="preserve">Todas las membresías del usuario</t>
  </si>
  <si>
    <t xml:space="preserve">project_members + projects sin límite</t>
  </si>
  <si>
    <t xml:space="preserve">Membresías</t>
  </si>
  <si>
    <t xml:space="preserve">Código (raíz)</t>
  </si>
  <si>
    <t xml:space="preserve">/repositories/1</t>
  </si>
  <si>
    <t xml:space="preserve">22 KB</t>
  </si>
  <si>
    <t xml:space="preserve">Árbol completo del commit (todas las rutas) + grafo completo para el nº de commits</t>
  </si>
  <si>
    <t xml:space="preserve">commit_files del commit completo; commits del repo completo</t>
  </si>
  <si>
    <t xml:space="preserve">Árbol y grafo</t>
  </si>
  <si>
    <t xml:space="preserve">Código (carpeta)</t>
  </si>
  <si>
    <t xml:space="preserve">/repositories/1?path=…</t>
  </si>
  <si>
    <t xml:space="preserve">Igual que la raíz, filtrado en PHP</t>
  </si>
  <si>
    <t xml:space="preserve">Igual</t>
  </si>
  <si>
    <t xml:space="preserve">Archivo</t>
  </si>
  <si>
    <t xml:space="preserve">/repositories/1/blob</t>
  </si>
  <si>
    <t xml:space="preserve">Árbol del commit + un blob</t>
  </si>
  <si>
    <t xml:space="preserve">commit_files completo para localizar un archivo</t>
  </si>
  <si>
    <t xml:space="preserve">Árbol</t>
  </si>
  <si>
    <t xml:space="preserve">/repositories/1/branches</t>
  </si>
  <si>
    <t xml:space="preserve">108 KB</t>
  </si>
  <si>
    <t xml:space="preserve">Todas las ramas + último commit + grafo (delante/detrás)</t>
  </si>
  <si>
    <t xml:space="preserve">branches y commits sin límite</t>
  </si>
  <si>
    <t xml:space="preserve">/repositories/1/commits</t>
  </si>
  <si>
    <t xml:space="preserve">30 commits/página</t>
  </si>
  <si>
    <t xml:space="preserve">Grafo completo + IN con todos los ancestros</t>
  </si>
  <si>
    <t xml:space="preserve">Commit (diff grande)</t>
  </si>
  <si>
    <t xml:space="preserve">/repositories/1/commits/{sha}</t>
  </si>
  <si>
    <t xml:space="preserve">6,3 MB</t>
  </si>
  <si>
    <t xml:space="preserve">Diff completo de 150 archivos (12.450 filas)</t>
  </si>
  <si>
    <t xml:space="preserve">Diff sin límite</t>
  </si>
  <si>
    <t xml:space="preserve">Issues</t>
  </si>
  <si>
    <t xml:space="preserve">/repositories/1/issues</t>
  </si>
  <si>
    <t xml:space="preserve">25 issues/página + recuentos + etiquetas</t>
  </si>
  <si>
    <t xml:space="preserve">labels de todas las issues; recuentos x3</t>
  </si>
  <si>
    <t xml:space="preserve">Etiquetas</t>
  </si>
  <si>
    <t xml:space="preserve">Issue</t>
  </si>
  <si>
    <t xml:space="preserve">/repositories/1/issues/3</t>
  </si>
  <si>
    <t xml:space="preserve">Issue + TODOS los comentarios + TODA la actividad</t>
  </si>
  <si>
    <t xml:space="preserve">issue_comments y activity_logs sin límite</t>
  </si>
  <si>
    <t xml:space="preserve">Comentarios y actividad</t>
  </si>
  <si>
    <t xml:space="preserve">Pull requests</t>
  </si>
  <si>
    <t xml:space="preserve">/repositories/1/pulls</t>
  </si>
  <si>
    <t xml:space="preserve">25 PRs/página</t>
  </si>
  <si>
    <t xml:space="preserve">recuento x2</t>
  </si>
  <si>
    <t xml:space="preserve">Pull request</t>
  </si>
  <si>
    <t xml:space="preserve">/repositories/1/pulls/3</t>
  </si>
  <si>
    <t xml:space="preserve">76 KB</t>
  </si>
  <si>
    <t xml:space="preserve">PR + comentarios + revisiones + actividad + diff (para el contador) + comprobación de conflictos</t>
  </si>
  <si>
    <t xml:space="preserve">Grafo x3, árbol x3, comentarios/actividad sin límite</t>
  </si>
  <si>
    <t xml:space="preserve">Comentarios, actividad, diff</t>
  </si>
  <si>
    <t xml:space="preserve">PR · Archivos</t>
  </si>
  <si>
    <t xml:space="preserve">/repositories/1/pulls/3?tab=files</t>
  </si>
  <si>
    <t xml:space="preserve">15 KB*</t>
  </si>
  <si>
    <t xml:space="preserve">Lo mismo + diff con hunks de todos los archivos</t>
  </si>
  <si>
    <t xml:space="preserve">*Pequeño en este PR; sin límite en PRs grandes (ver R01)</t>
  </si>
  <si>
    <t xml:space="preserve">Diff</t>
  </si>
  <si>
    <t xml:space="preserve">Nuevo PR</t>
  </si>
  <si>
    <t xml:space="preserve">/repositories/1/pulls/create</t>
  </si>
  <si>
    <t xml:space="preserve">Todas las ramas, todas las issues abiertas, miembros, diff de vista previa</t>
  </si>
  <si>
    <t xml:space="preserve">branches SELECT *, issues abiertas sin límite</t>
  </si>
  <si>
    <t xml:space="preserve">Issues abiertas</t>
  </si>
  <si>
    <t xml:space="preserve">Configuración del repo</t>
  </si>
  <si>
    <t xml:space="preserve">/repositories/1/settings</t>
  </si>
  <si>
    <t xml:space="preserve">Repo + nombres de ramas</t>
  </si>
  <si>
    <t xml:space="preserve">Máximo</t>
  </si>
  <si>
    <t xml:space="preserve">Medido con: nginx + PHP-FPM 8.3 + MySQL 8, OPcache activo, como «propietaria», con datos grandes (31 proyectos, 351 commits, 53.390 filas de árbol, 82 issues, 281 comentarios, 1.642 notificaciones). Mejor de 1 ejecución; HTML sin comprimir.</t>
  </si>
  <si>
    <t xml:space="preserve">Componente</t>
  </si>
  <si>
    <t xml:space="preserve">Tipo</t>
  </si>
  <si>
    <t xml:space="preserve">Dónde se usa</t>
  </si>
  <si>
    <t xml:space="preserve">Estado</t>
  </si>
  <si>
    <t xml:space="preserve">Propuesta</t>
  </si>
  <si>
    <t xml:space="preserve">app-layout / guest-layout</t>
  </si>
  <si>
    <t xml:space="preserve">Layout</t>
  </si>
  <si>
    <t xml:space="preserve">Todas</t>
  </si>
  <si>
    <t xml:space="preserve">Correcto</t>
  </si>
  <si>
    <t xml:space="preserve">Añadir enlace para saltar al contenido, landmarks y navegación nueva (U02, A02)</t>
  </si>
  <si>
    <t xml:space="preserve">button</t>
  </si>
  <si>
    <t xml:space="preserve">Base</t>
  </si>
  <si>
    <t xml:space="preserve">Correcto (variantes y foco)</t>
  </si>
  <si>
    <t xml:space="preserve">Añadir estado de carga (U04)</t>
  </si>
  <si>
    <t xml:space="preserve">input / textarea / select</t>
  </si>
  <si>
    <t xml:space="preserve">Correcto (etiqueta + error junto al campo)</t>
  </si>
  <si>
    <t xml:space="preserve">card</t>
  </si>
  <si>
    <t xml:space="preserve">badge</t>
  </si>
  <si>
    <t xml:space="preserve">Correcto (texto + color)</t>
  </si>
  <si>
    <t xml:space="preserve">empty</t>
  </si>
  <si>
    <t xml:space="preserve">Estados</t>
  </si>
  <si>
    <t xml:space="preserve">Solo título y texto</t>
  </si>
  <si>
    <t xml:space="preserve">Añadir acción opcional (U05)</t>
  </si>
  <si>
    <t xml:space="preserve">flash</t>
  </si>
  <si>
    <t xml:space="preserve">Feedback</t>
  </si>
  <si>
    <t xml:space="preserve">Sin cierre ni role</t>
  </si>
  <si>
    <t xml:space="preserve">Convertir en alerta/toast accesible (U08)</t>
  </si>
  <si>
    <t xml:space="preserve">diff</t>
  </si>
  <si>
    <t xml:space="preserve">Código</t>
  </si>
  <si>
    <t xml:space="preserve">Commit, PR</t>
  </si>
  <si>
    <t xml:space="preserve">Renderiza todo</t>
  </si>
  <si>
    <t xml:space="preserve">Diff por archivo bajo demanda y con límite (R01)</t>
  </si>
  <si>
    <t xml:space="preserve">account-pagination / collab-pagination</t>
  </si>
  <si>
    <t xml:space="preserve">Navegación</t>
  </si>
  <si>
    <t xml:space="preserve">DUPLICADO</t>
  </si>
  <si>
    <t xml:space="preserve">Unificar en x-pagination (U07)</t>
  </si>
  <si>
    <t xml:space="preserve">code-avatar / collab-avatar</t>
  </si>
  <si>
    <t xml:space="preserve">Unificar en x-avatar (U07)</t>
  </si>
  <si>
    <t xml:space="preserve">collab-markdown + Str::markdown en vistas</t>
  </si>
  <si>
    <t xml:space="preserve">Contenido</t>
  </si>
  <si>
    <t xml:space="preserve">Issues, PRs, README</t>
  </si>
  <si>
    <t xml:space="preserve">Uso mixto</t>
  </si>
  <si>
    <t xml:space="preserve">Usar siempre x-markdown (U07)</t>
  </si>
  <si>
    <t xml:space="preserve">collab-state-tabs + pestañas en _header</t>
  </si>
  <si>
    <t xml:space="preserve">Repos, issues, PRs</t>
  </si>
  <si>
    <t xml:space="preserve">Pestañas implementadas dos veces</t>
  </si>
  <si>
    <t xml:space="preserve">Unificar en x-tabs (U07)</t>
  </si>
  <si>
    <t xml:space="preserve">code-icon</t>
  </si>
  <si>
    <t xml:space="preserve">Iconos</t>
  </si>
  <si>
    <t xml:space="preserve">SVG en línea</t>
  </si>
  <si>
    <t xml:space="preserve">Ampliar como x-icon general</t>
  </si>
  <si>
    <t xml:space="preserve">code-breadcrumbs / code-branch-select / code-size</t>
  </si>
  <si>
    <t xml:space="preserve">Explorador</t>
  </si>
  <si>
    <t xml:space="preserve">collab-*-status / priority / review-state / label</t>
  </si>
  <si>
    <t xml:space="preserve">Badges de estado</t>
  </si>
  <si>
    <t xml:space="preserve">Issues, PRs</t>
  </si>
  <si>
    <t xml:space="preserve">account-project-card / role-badge / activity-item / notification-icon</t>
  </si>
  <si>
    <t xml:space="preserve">Cuenta</t>
  </si>
  <si>
    <t xml:space="preserve">Dashboard, proyectos</t>
  </si>
  <si>
    <t xml:space="preserve">(no existe) modal / confirm</t>
  </si>
  <si>
    <t xml:space="preserve">Falta</t>
  </si>
  <si>
    <t xml:space="preserve">Nuevo x-confirm con el elemento nativo dialog (U06)</t>
  </si>
  <si>
    <t xml:space="preserve">(no existe) help / tooltip</t>
  </si>
  <si>
    <t xml:space="preserve">Nuevo x-help (U03)</t>
  </si>
  <si>
    <t xml:space="preserve">(no existe) skeleton / spinner</t>
  </si>
  <si>
    <t xml:space="preserve">Para secciones que se cargan bajo demanda (F01)</t>
  </si>
  <si>
    <t xml:space="preserve">(no existe) table</t>
  </si>
  <si>
    <t xml:space="preserve">Falta (tablas montadas a mano en cada vista)</t>
  </si>
  <si>
    <t xml:space="preserve">x-table opcional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</si>
</sst>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10"/>
      <color rgb="FF47556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E293B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E293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>
          <bgColor rgb="FFFEE2E2"/>
        </patternFill>
      </fill>
    </dxf>
    <dxf>
      <fill>
        <patternFill>
          <bgColor rgb="FFFEF3C7"/>
        </patternFill>
      </fill>
    </dxf>
    <dxf>
      <fill>
        <patternFill>
          <bgColor rgb="FFDCFCE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29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aComponentes" displayName="TablaComponentes" ref="A1:E21" headerRowCount="1" totalsRowCount="0" totalsRowShown="0">
  <autoFilter ref="A1:E21"/>
  <tableColumns count="5">
    <tableColumn id="1" name="Componente"/>
    <tableColumn id="2" name="Tipo"/>
    <tableColumn id="3" name="Dónde se usa"/>
    <tableColumn id="4" name="Estado"/>
    <tableColumn id="5" name="Propuesta"/>
  </tableColumns>
</table>
</file>

<file path=xl/tables/table2.xml><?xml version="1.0" encoding="utf-8"?>
<table xmlns="http://schemas.openxmlformats.org/spreadsheetml/2006/main" id="2" name="TablaPantallas" displayName="TablaPantallas" ref="A1:H22" headerRowCount="1" totalsRowCount="0" totalsRowShown="0">
  <autoFilter ref="A1:H22"/>
  <tableColumns count="8">
    <tableColumn id="1" name="Pantalla"/>
    <tableColumn id="2" name="Ruta"/>
    <tableColumn id="3" name="Servidor (ms)"/>
    <tableColumn id="4" name="Consultas SQL"/>
    <tableColumn id="5" name="HTML"/>
    <tableColumn id="6" name="Qué carga"/>
    <tableColumn id="7" name="Consultas a revisar"/>
    <tableColumn id="8" name="Colecciones sin límite"/>
  </tableColumns>
</table>
</file>

<file path=xl/tables/table3.xml><?xml version="1.0" encoding="utf-8"?>
<table xmlns="http://schemas.openxmlformats.org/spreadsheetml/2006/main" id="3" name="TablaProblemas" displayName="TablaProblemas" ref="A1:J31" headerRowCount="1" totalsRowCount="0" totalsRowShown="0">
  <autoFilter ref="A1:J31"/>
  <tableColumns count="10">
    <tableColumn id="1" name="ID"/>
    <tableColumn id="2" name="Área"/>
    <tableColumn id="3" name="Pantalla"/>
    <tableColumn id="4" name="Problema"/>
    <tableColumn id="5" name="Evidencia (medida)"/>
    <tableColumn id="6" name="Impacto"/>
    <tableColumn id="7" name="Solución propuesta"/>
    <tableColumn id="8" name="Prioridad"/>
    <tableColumn id="9" name="Fase"/>
    <tableColumn id="10" name="Archivos afectado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4" t="s">
        <v>3</v>
      </c>
    </row>
    <row r="5" customFormat="false" ht="23.85" hidden="false" customHeight="false" outlineLevel="0" collapsed="false">
      <c r="A5" s="3" t="s">
        <v>4</v>
      </c>
      <c r="B5" s="4" t="s">
        <v>5</v>
      </c>
    </row>
    <row r="6" customFormat="false" ht="23.85" hidden="false" customHeight="false" outlineLevel="0" collapsed="false">
      <c r="A6" s="3" t="s">
        <v>6</v>
      </c>
      <c r="B6" s="4" t="s">
        <v>7</v>
      </c>
    </row>
    <row r="7" customFormat="false" ht="23.85" hidden="false" customHeight="false" outlineLevel="0" collapsed="false">
      <c r="A7" s="3" t="s">
        <v>8</v>
      </c>
      <c r="B7" s="4" t="s">
        <v>9</v>
      </c>
    </row>
    <row r="8" customFormat="false" ht="35.05" hidden="false" customHeight="false" outlineLevel="0" collapsed="false">
      <c r="A8" s="3" t="s">
        <v>10</v>
      </c>
      <c r="B8" s="4" t="s">
        <v>11</v>
      </c>
    </row>
    <row r="10" customFormat="false" ht="15" hidden="false" customHeight="false" outlineLevel="0" collapsed="false">
      <c r="A10" s="5" t="s">
        <v>12</v>
      </c>
    </row>
    <row r="11" customFormat="false" ht="15" hidden="false" customHeight="false" outlineLevel="0" collapsed="false">
      <c r="A11" s="6" t="s">
        <v>13</v>
      </c>
      <c r="B11" s="6" t="s">
        <v>14</v>
      </c>
    </row>
    <row r="12" customFormat="false" ht="15" hidden="false" customHeight="false" outlineLevel="0" collapsed="false">
      <c r="A12" s="7" t="s">
        <v>15</v>
      </c>
      <c r="B12" s="7" t="n">
        <f aca="false">COUNTIF(Problemas!H:H,"Alta")</f>
        <v>7</v>
      </c>
    </row>
    <row r="13" customFormat="false" ht="15" hidden="false" customHeight="false" outlineLevel="0" collapsed="false">
      <c r="A13" s="7" t="s">
        <v>16</v>
      </c>
      <c r="B13" s="7" t="n">
        <f aca="false">COUNTIF(Problemas!H:H,"Media")</f>
        <v>16</v>
      </c>
    </row>
    <row r="14" customFormat="false" ht="15" hidden="false" customHeight="false" outlineLevel="0" collapsed="false">
      <c r="A14" s="7" t="s">
        <v>17</v>
      </c>
      <c r="B14" s="7" t="n">
        <f aca="false">COUNTIF(Problemas!H:H,"Baja")</f>
        <v>7</v>
      </c>
    </row>
    <row r="15" customFormat="false" ht="15" hidden="false" customHeight="false" outlineLevel="0" collapsed="false">
      <c r="A15" s="5" t="s">
        <v>18</v>
      </c>
      <c r="B15" s="5" t="n">
        <f aca="false">SUM(B12:B14)</f>
        <v>30</v>
      </c>
    </row>
    <row r="17" customFormat="false" ht="15" hidden="false" customHeight="false" outlineLevel="0" collapsed="false">
      <c r="A17" s="5" t="s">
        <v>19</v>
      </c>
    </row>
    <row r="18" customFormat="false" ht="15" hidden="false" customHeight="false" outlineLevel="0" collapsed="false">
      <c r="A18" s="6" t="s">
        <v>20</v>
      </c>
      <c r="B18" s="6" t="s">
        <v>14</v>
      </c>
    </row>
    <row r="19" customFormat="false" ht="15" hidden="false" customHeight="false" outlineLevel="0" collapsed="false">
      <c r="A19" s="7" t="s">
        <v>21</v>
      </c>
      <c r="B19" s="7" t="n">
        <f aca="false">COUNTIF(Problemas!B:B,"Rendimiento / datos")</f>
        <v>14</v>
      </c>
    </row>
    <row r="20" customFormat="false" ht="15" hidden="false" customHeight="false" outlineLevel="0" collapsed="false">
      <c r="A20" s="7" t="s">
        <v>22</v>
      </c>
      <c r="B20" s="7" t="n">
        <f aca="false">COUNTIF(Problemas!B:B,"API")</f>
        <v>1</v>
      </c>
    </row>
    <row r="21" customFormat="false" ht="15" hidden="false" customHeight="false" outlineLevel="0" collapsed="false">
      <c r="A21" s="7" t="s">
        <v>23</v>
      </c>
      <c r="B21" s="7" t="n">
        <f aca="false">COUNTIF(Problemas!B:B,"UX / errores")</f>
        <v>1</v>
      </c>
    </row>
    <row r="22" customFormat="false" ht="15" hidden="false" customHeight="false" outlineLevel="0" collapsed="false">
      <c r="A22" s="7" t="s">
        <v>24</v>
      </c>
      <c r="B22" s="7" t="n">
        <f aca="false">COUNTIF(Problemas!B:B,"UX / navegación")</f>
        <v>1</v>
      </c>
    </row>
    <row r="23" customFormat="false" ht="15" hidden="false" customHeight="false" outlineLevel="0" collapsed="false">
      <c r="A23" s="7" t="s">
        <v>25</v>
      </c>
      <c r="B23" s="7" t="n">
        <f aca="false">COUNTIF(Problemas!B:B,"UX / usuarios no técnicos")</f>
        <v>1</v>
      </c>
    </row>
    <row r="24" customFormat="false" ht="15" hidden="false" customHeight="false" outlineLevel="0" collapsed="false">
      <c r="A24" s="7" t="s">
        <v>26</v>
      </c>
      <c r="B24" s="7" t="n">
        <f aca="false">COUNTIF(Problemas!B:B,"UX / feedback")</f>
        <v>2</v>
      </c>
    </row>
    <row r="25" customFormat="false" ht="15" hidden="false" customHeight="false" outlineLevel="0" collapsed="false">
      <c r="A25" s="7" t="s">
        <v>27</v>
      </c>
      <c r="B25" s="7" t="n">
        <f aca="false">COUNTIF(Problemas!B:B,"UX / estados vacíos")</f>
        <v>1</v>
      </c>
    </row>
    <row r="26" customFormat="false" ht="15" hidden="false" customHeight="false" outlineLevel="0" collapsed="false">
      <c r="A26" s="7" t="s">
        <v>28</v>
      </c>
      <c r="B26" s="7" t="n">
        <f aca="false">COUNTIF(Problemas!B:B,"UX / acciones destructivas")</f>
        <v>1</v>
      </c>
    </row>
    <row r="27" customFormat="false" ht="15" hidden="false" customHeight="false" outlineLevel="0" collapsed="false">
      <c r="A27" s="7" t="s">
        <v>29</v>
      </c>
      <c r="B27" s="7" t="n">
        <f aca="false">COUNTIF(Problemas!B:B,"Design system")</f>
        <v>1</v>
      </c>
    </row>
    <row r="28" customFormat="false" ht="15" hidden="false" customHeight="false" outlineLevel="0" collapsed="false">
      <c r="A28" s="7" t="s">
        <v>30</v>
      </c>
      <c r="B28" s="7" t="n">
        <f aca="false">COUNTIF(Problemas!B:B,"UX / formularios")</f>
        <v>1</v>
      </c>
    </row>
    <row r="29" customFormat="false" ht="15" hidden="false" customHeight="false" outlineLevel="0" collapsed="false">
      <c r="A29" s="7" t="s">
        <v>31</v>
      </c>
      <c r="B29" s="7" t="n">
        <f aca="false">COUNTIF(Problemas!B:B,"UX / código")</f>
        <v>1</v>
      </c>
    </row>
    <row r="30" customFormat="false" ht="15" hidden="false" customHeight="false" outlineLevel="0" collapsed="false">
      <c r="A30" s="7" t="s">
        <v>32</v>
      </c>
      <c r="B30" s="7" t="n">
        <f aca="false">COUNTIF(Problemas!B:B,"Accesibilidad")</f>
        <v>4</v>
      </c>
    </row>
    <row r="31" customFormat="false" ht="15" hidden="false" customHeight="false" outlineLevel="0" collapsed="false">
      <c r="A31" s="7" t="s">
        <v>2</v>
      </c>
      <c r="B31" s="7" t="n">
        <f aca="false">COUNTIF(Problemas!B:B,"Frontend")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48"/>
    <col collapsed="false" customWidth="true" hidden="false" outlineLevel="0" max="5" min="5" style="0" width="40"/>
    <col collapsed="false" customWidth="true" hidden="false" outlineLevel="0" max="6" min="6" style="0" width="26"/>
    <col collapsed="false" customWidth="true" hidden="false" outlineLevel="0" max="7" min="7" style="0" width="55"/>
    <col collapsed="false" customWidth="true" hidden="false" outlineLevel="0" max="8" min="8" style="0" width="10"/>
    <col collapsed="false" customWidth="true" hidden="false" outlineLevel="0" max="9" min="9" style="0" width="7"/>
    <col collapsed="false" customWidth="true" hidden="false" outlineLevel="0" max="10" min="10" style="0" width="40"/>
  </cols>
  <sheetData>
    <row r="1" customFormat="false" ht="15" hidden="false" customHeight="false" outlineLevel="0" collapsed="false">
      <c r="A1" s="8" t="s">
        <v>33</v>
      </c>
      <c r="B1" s="8" t="s">
        <v>20</v>
      </c>
      <c r="C1" s="8" t="s">
        <v>34</v>
      </c>
      <c r="D1" s="8" t="s">
        <v>35</v>
      </c>
      <c r="E1" s="8" t="s">
        <v>36</v>
      </c>
      <c r="F1" s="8" t="s">
        <v>37</v>
      </c>
      <c r="G1" s="8" t="s">
        <v>38</v>
      </c>
      <c r="H1" s="8" t="s">
        <v>13</v>
      </c>
      <c r="I1" s="8" t="s">
        <v>39</v>
      </c>
      <c r="J1" s="8" t="s">
        <v>40</v>
      </c>
    </row>
    <row r="2" customFormat="false" ht="46.25" hidden="false" customHeight="false" outlineLevel="0" collapsed="false">
      <c r="A2" s="9" t="s">
        <v>41</v>
      </c>
      <c r="B2" s="9" t="s">
        <v>21</v>
      </c>
      <c r="C2" s="9" t="s">
        <v>42</v>
      </c>
      <c r="D2" s="9" t="s">
        <v>43</v>
      </c>
      <c r="E2" s="9" t="s">
        <v>44</v>
      </c>
      <c r="F2" s="9" t="s">
        <v>45</v>
      </c>
      <c r="G2" s="9" t="s">
        <v>46</v>
      </c>
      <c r="H2" s="9" t="s">
        <v>15</v>
      </c>
      <c r="I2" s="9" t="s">
        <v>47</v>
      </c>
      <c r="J2" s="9" t="s">
        <v>48</v>
      </c>
    </row>
    <row r="3" customFormat="false" ht="46.25" hidden="false" customHeight="false" outlineLevel="0" collapsed="false">
      <c r="A3" s="9" t="s">
        <v>49</v>
      </c>
      <c r="B3" s="9" t="s">
        <v>21</v>
      </c>
      <c r="C3" s="9" t="s">
        <v>50</v>
      </c>
      <c r="D3" s="9" t="s">
        <v>51</v>
      </c>
      <c r="E3" s="9" t="s">
        <v>52</v>
      </c>
      <c r="F3" s="9" t="s">
        <v>53</v>
      </c>
      <c r="G3" s="9" t="s">
        <v>54</v>
      </c>
      <c r="H3" s="9" t="s">
        <v>15</v>
      </c>
      <c r="I3" s="9" t="s">
        <v>55</v>
      </c>
      <c r="J3" s="9" t="s">
        <v>56</v>
      </c>
    </row>
    <row r="4" customFormat="false" ht="35.05" hidden="false" customHeight="false" outlineLevel="0" collapsed="false">
      <c r="A4" s="9" t="s">
        <v>57</v>
      </c>
      <c r="B4" s="9" t="s">
        <v>21</v>
      </c>
      <c r="C4" s="9" t="s">
        <v>58</v>
      </c>
      <c r="D4" s="9" t="s">
        <v>59</v>
      </c>
      <c r="E4" s="9" t="s">
        <v>60</v>
      </c>
      <c r="F4" s="9" t="s">
        <v>61</v>
      </c>
      <c r="G4" s="9" t="s">
        <v>62</v>
      </c>
      <c r="H4" s="9" t="s">
        <v>15</v>
      </c>
      <c r="I4" s="9" t="s">
        <v>63</v>
      </c>
      <c r="J4" s="9" t="s">
        <v>64</v>
      </c>
    </row>
    <row r="5" customFormat="false" ht="35.05" hidden="false" customHeight="false" outlineLevel="0" collapsed="false">
      <c r="A5" s="9" t="s">
        <v>65</v>
      </c>
      <c r="B5" s="9" t="s">
        <v>21</v>
      </c>
      <c r="C5" s="9" t="s">
        <v>66</v>
      </c>
      <c r="D5" s="9" t="s">
        <v>67</v>
      </c>
      <c r="E5" s="9" t="s">
        <v>68</v>
      </c>
      <c r="F5" s="9" t="s">
        <v>69</v>
      </c>
      <c r="G5" s="9" t="s">
        <v>70</v>
      </c>
      <c r="H5" s="9" t="s">
        <v>15</v>
      </c>
      <c r="I5" s="9" t="s">
        <v>63</v>
      </c>
      <c r="J5" s="9" t="s">
        <v>71</v>
      </c>
    </row>
    <row r="6" customFormat="false" ht="35.05" hidden="false" customHeight="false" outlineLevel="0" collapsed="false">
      <c r="A6" s="9" t="s">
        <v>72</v>
      </c>
      <c r="B6" s="9" t="s">
        <v>21</v>
      </c>
      <c r="C6" s="9" t="s">
        <v>73</v>
      </c>
      <c r="D6" s="9" t="s">
        <v>74</v>
      </c>
      <c r="E6" s="9" t="s">
        <v>75</v>
      </c>
      <c r="F6" s="9" t="s">
        <v>76</v>
      </c>
      <c r="G6" s="9" t="s">
        <v>77</v>
      </c>
      <c r="H6" s="9" t="s">
        <v>16</v>
      </c>
      <c r="I6" s="9" t="s">
        <v>55</v>
      </c>
      <c r="J6" s="9" t="s">
        <v>78</v>
      </c>
    </row>
    <row r="7" customFormat="false" ht="35.05" hidden="false" customHeight="false" outlineLevel="0" collapsed="false">
      <c r="A7" s="9" t="s">
        <v>79</v>
      </c>
      <c r="B7" s="9" t="s">
        <v>21</v>
      </c>
      <c r="C7" s="9" t="s">
        <v>80</v>
      </c>
      <c r="D7" s="9" t="s">
        <v>81</v>
      </c>
      <c r="E7" s="9" t="s">
        <v>82</v>
      </c>
      <c r="F7" s="9" t="s">
        <v>83</v>
      </c>
      <c r="G7" s="9" t="s">
        <v>84</v>
      </c>
      <c r="H7" s="9" t="s">
        <v>16</v>
      </c>
      <c r="I7" s="9" t="s">
        <v>55</v>
      </c>
      <c r="J7" s="9" t="s">
        <v>85</v>
      </c>
    </row>
    <row r="8" customFormat="false" ht="23.85" hidden="false" customHeight="false" outlineLevel="0" collapsed="false">
      <c r="A8" s="9" t="s">
        <v>86</v>
      </c>
      <c r="B8" s="9" t="s">
        <v>21</v>
      </c>
      <c r="C8" s="9" t="s">
        <v>87</v>
      </c>
      <c r="D8" s="9" t="s">
        <v>88</v>
      </c>
      <c r="E8" s="9" t="s">
        <v>89</v>
      </c>
      <c r="F8" s="9" t="s">
        <v>90</v>
      </c>
      <c r="G8" s="9" t="s">
        <v>91</v>
      </c>
      <c r="H8" s="9" t="s">
        <v>16</v>
      </c>
      <c r="I8" s="9" t="s">
        <v>63</v>
      </c>
      <c r="J8" s="9" t="s">
        <v>92</v>
      </c>
    </row>
    <row r="9" customFormat="false" ht="35.05" hidden="false" customHeight="false" outlineLevel="0" collapsed="false">
      <c r="A9" s="9" t="s">
        <v>93</v>
      </c>
      <c r="B9" s="9" t="s">
        <v>21</v>
      </c>
      <c r="C9" s="9" t="s">
        <v>94</v>
      </c>
      <c r="D9" s="9" t="s">
        <v>95</v>
      </c>
      <c r="E9" s="9" t="s">
        <v>96</v>
      </c>
      <c r="F9" s="9" t="s">
        <v>97</v>
      </c>
      <c r="G9" s="9" t="s">
        <v>98</v>
      </c>
      <c r="H9" s="9" t="s">
        <v>16</v>
      </c>
      <c r="I9" s="9" t="s">
        <v>63</v>
      </c>
      <c r="J9" s="9" t="s">
        <v>99</v>
      </c>
    </row>
    <row r="10" customFormat="false" ht="23.85" hidden="false" customHeight="false" outlineLevel="0" collapsed="false">
      <c r="A10" s="9" t="s">
        <v>100</v>
      </c>
      <c r="B10" s="9" t="s">
        <v>21</v>
      </c>
      <c r="C10" s="9" t="s">
        <v>101</v>
      </c>
      <c r="D10" s="9" t="s">
        <v>102</v>
      </c>
      <c r="E10" s="9" t="s">
        <v>103</v>
      </c>
      <c r="F10" s="9" t="s">
        <v>104</v>
      </c>
      <c r="G10" s="9" t="s">
        <v>105</v>
      </c>
      <c r="H10" s="9" t="s">
        <v>16</v>
      </c>
      <c r="I10" s="9" t="s">
        <v>63</v>
      </c>
      <c r="J10" s="9" t="s">
        <v>106</v>
      </c>
    </row>
    <row r="11" customFormat="false" ht="35.05" hidden="false" customHeight="false" outlineLevel="0" collapsed="false">
      <c r="A11" s="9" t="s">
        <v>107</v>
      </c>
      <c r="B11" s="9" t="s">
        <v>21</v>
      </c>
      <c r="C11" s="9" t="s">
        <v>108</v>
      </c>
      <c r="D11" s="9" t="s">
        <v>109</v>
      </c>
      <c r="E11" s="9" t="s">
        <v>110</v>
      </c>
      <c r="F11" s="9" t="s">
        <v>111</v>
      </c>
      <c r="G11" s="9" t="s">
        <v>112</v>
      </c>
      <c r="H11" s="9" t="s">
        <v>16</v>
      </c>
      <c r="I11" s="9" t="s">
        <v>55</v>
      </c>
      <c r="J11" s="9" t="s">
        <v>113</v>
      </c>
    </row>
    <row r="12" customFormat="false" ht="23.85" hidden="false" customHeight="false" outlineLevel="0" collapsed="false">
      <c r="A12" s="9" t="s">
        <v>114</v>
      </c>
      <c r="B12" s="9" t="s">
        <v>21</v>
      </c>
      <c r="C12" s="9" t="s">
        <v>115</v>
      </c>
      <c r="D12" s="9" t="s">
        <v>116</v>
      </c>
      <c r="E12" s="9" t="s">
        <v>117</v>
      </c>
      <c r="F12" s="9" t="s">
        <v>118</v>
      </c>
      <c r="G12" s="9" t="s">
        <v>119</v>
      </c>
      <c r="H12" s="9" t="s">
        <v>16</v>
      </c>
      <c r="I12" s="9" t="s">
        <v>63</v>
      </c>
      <c r="J12" s="9" t="s">
        <v>120</v>
      </c>
    </row>
    <row r="13" customFormat="false" ht="35.05" hidden="false" customHeight="false" outlineLevel="0" collapsed="false">
      <c r="A13" s="9" t="s">
        <v>121</v>
      </c>
      <c r="B13" s="9" t="s">
        <v>22</v>
      </c>
      <c r="C13" s="9" t="s">
        <v>122</v>
      </c>
      <c r="D13" s="9" t="s">
        <v>123</v>
      </c>
      <c r="E13" s="9" t="s">
        <v>124</v>
      </c>
      <c r="F13" s="9" t="s">
        <v>125</v>
      </c>
      <c r="G13" s="9" t="s">
        <v>126</v>
      </c>
      <c r="H13" s="9" t="s">
        <v>16</v>
      </c>
      <c r="I13" s="9" t="s">
        <v>55</v>
      </c>
      <c r="J13" s="9" t="s">
        <v>127</v>
      </c>
    </row>
    <row r="14" customFormat="false" ht="23.85" hidden="false" customHeight="false" outlineLevel="0" collapsed="false">
      <c r="A14" s="9" t="s">
        <v>128</v>
      </c>
      <c r="B14" s="9" t="s">
        <v>21</v>
      </c>
      <c r="C14" s="9" t="s">
        <v>129</v>
      </c>
      <c r="D14" s="9" t="s">
        <v>130</v>
      </c>
      <c r="E14" s="9" t="s">
        <v>131</v>
      </c>
      <c r="F14" s="9" t="s">
        <v>132</v>
      </c>
      <c r="G14" s="9" t="s">
        <v>133</v>
      </c>
      <c r="H14" s="9" t="s">
        <v>17</v>
      </c>
      <c r="I14" s="9" t="s">
        <v>55</v>
      </c>
      <c r="J14" s="9" t="s">
        <v>134</v>
      </c>
    </row>
    <row r="15" customFormat="false" ht="23.85" hidden="false" customHeight="false" outlineLevel="0" collapsed="false">
      <c r="A15" s="9" t="s">
        <v>135</v>
      </c>
      <c r="B15" s="9" t="s">
        <v>21</v>
      </c>
      <c r="C15" s="9" t="s">
        <v>136</v>
      </c>
      <c r="D15" s="9" t="s">
        <v>137</v>
      </c>
      <c r="E15" s="9" t="s">
        <v>138</v>
      </c>
      <c r="F15" s="9" t="s">
        <v>139</v>
      </c>
      <c r="G15" s="9" t="s">
        <v>140</v>
      </c>
      <c r="H15" s="9" t="s">
        <v>17</v>
      </c>
      <c r="I15" s="9" t="s">
        <v>55</v>
      </c>
      <c r="J15" s="9" t="s">
        <v>141</v>
      </c>
    </row>
    <row r="16" customFormat="false" ht="23.85" hidden="false" customHeight="false" outlineLevel="0" collapsed="false">
      <c r="A16" s="9" t="s">
        <v>142</v>
      </c>
      <c r="B16" s="9" t="s">
        <v>21</v>
      </c>
      <c r="C16" s="9" t="s">
        <v>122</v>
      </c>
      <c r="D16" s="9" t="s">
        <v>143</v>
      </c>
      <c r="E16" s="9" t="s">
        <v>144</v>
      </c>
      <c r="F16" s="9" t="s">
        <v>139</v>
      </c>
      <c r="G16" s="9" t="s">
        <v>145</v>
      </c>
      <c r="H16" s="9" t="s">
        <v>17</v>
      </c>
      <c r="I16" s="9" t="s">
        <v>55</v>
      </c>
      <c r="J16" s="9" t="s">
        <v>146</v>
      </c>
    </row>
    <row r="17" customFormat="false" ht="35.05" hidden="false" customHeight="false" outlineLevel="0" collapsed="false">
      <c r="A17" s="9" t="s">
        <v>147</v>
      </c>
      <c r="B17" s="9" t="s">
        <v>23</v>
      </c>
      <c r="C17" s="9" t="s">
        <v>148</v>
      </c>
      <c r="D17" s="9" t="s">
        <v>149</v>
      </c>
      <c r="E17" s="9" t="s">
        <v>150</v>
      </c>
      <c r="F17" s="9" t="s">
        <v>151</v>
      </c>
      <c r="G17" s="9" t="s">
        <v>152</v>
      </c>
      <c r="H17" s="9" t="s">
        <v>15</v>
      </c>
      <c r="I17" s="9" t="s">
        <v>153</v>
      </c>
      <c r="J17" s="9" t="s">
        <v>154</v>
      </c>
    </row>
    <row r="18" customFormat="false" ht="57.45" hidden="false" customHeight="false" outlineLevel="0" collapsed="false">
      <c r="A18" s="9" t="s">
        <v>155</v>
      </c>
      <c r="B18" s="9" t="s">
        <v>24</v>
      </c>
      <c r="C18" s="9" t="s">
        <v>156</v>
      </c>
      <c r="D18" s="9" t="s">
        <v>157</v>
      </c>
      <c r="E18" s="9" t="s">
        <v>158</v>
      </c>
      <c r="F18" s="9" t="s">
        <v>159</v>
      </c>
      <c r="G18" s="9" t="s">
        <v>160</v>
      </c>
      <c r="H18" s="9" t="s">
        <v>15</v>
      </c>
      <c r="I18" s="9" t="s">
        <v>161</v>
      </c>
      <c r="J18" s="9" t="s">
        <v>162</v>
      </c>
    </row>
    <row r="19" customFormat="false" ht="23.85" hidden="false" customHeight="false" outlineLevel="0" collapsed="false">
      <c r="A19" s="9" t="s">
        <v>163</v>
      </c>
      <c r="B19" s="9" t="s">
        <v>25</v>
      </c>
      <c r="C19" s="9" t="s">
        <v>164</v>
      </c>
      <c r="D19" s="9" t="s">
        <v>165</v>
      </c>
      <c r="E19" s="9" t="s">
        <v>166</v>
      </c>
      <c r="F19" s="9" t="s">
        <v>167</v>
      </c>
      <c r="G19" s="9" t="s">
        <v>168</v>
      </c>
      <c r="H19" s="9" t="s">
        <v>15</v>
      </c>
      <c r="I19" s="9" t="s">
        <v>153</v>
      </c>
      <c r="J19" s="9" t="s">
        <v>169</v>
      </c>
    </row>
    <row r="20" customFormat="false" ht="35.05" hidden="false" customHeight="false" outlineLevel="0" collapsed="false">
      <c r="A20" s="9" t="s">
        <v>170</v>
      </c>
      <c r="B20" s="9" t="s">
        <v>26</v>
      </c>
      <c r="C20" s="9" t="s">
        <v>171</v>
      </c>
      <c r="D20" s="9" t="s">
        <v>172</v>
      </c>
      <c r="E20" s="9" t="s">
        <v>173</v>
      </c>
      <c r="F20" s="9" t="s">
        <v>174</v>
      </c>
      <c r="G20" s="9" t="s">
        <v>175</v>
      </c>
      <c r="H20" s="9" t="s">
        <v>16</v>
      </c>
      <c r="I20" s="9" t="s">
        <v>153</v>
      </c>
      <c r="J20" s="9" t="s">
        <v>176</v>
      </c>
    </row>
    <row r="21" customFormat="false" ht="23.85" hidden="false" customHeight="false" outlineLevel="0" collapsed="false">
      <c r="A21" s="9" t="s">
        <v>177</v>
      </c>
      <c r="B21" s="9" t="s">
        <v>27</v>
      </c>
      <c r="C21" s="9" t="s">
        <v>122</v>
      </c>
      <c r="D21" s="9" t="s">
        <v>178</v>
      </c>
      <c r="E21" s="9" t="s">
        <v>179</v>
      </c>
      <c r="F21" s="9" t="s">
        <v>90</v>
      </c>
      <c r="G21" s="9" t="s">
        <v>180</v>
      </c>
      <c r="H21" s="9" t="s">
        <v>16</v>
      </c>
      <c r="I21" s="9" t="s">
        <v>161</v>
      </c>
      <c r="J21" s="9" t="s">
        <v>181</v>
      </c>
    </row>
    <row r="22" customFormat="false" ht="35.05" hidden="false" customHeight="false" outlineLevel="0" collapsed="false">
      <c r="A22" s="9" t="s">
        <v>182</v>
      </c>
      <c r="B22" s="9" t="s">
        <v>28</v>
      </c>
      <c r="C22" s="9" t="s">
        <v>183</v>
      </c>
      <c r="D22" s="9" t="s">
        <v>184</v>
      </c>
      <c r="E22" s="9" t="s">
        <v>185</v>
      </c>
      <c r="F22" s="9" t="s">
        <v>90</v>
      </c>
      <c r="G22" s="9" t="s">
        <v>186</v>
      </c>
      <c r="H22" s="9" t="s">
        <v>16</v>
      </c>
      <c r="I22" s="9" t="s">
        <v>153</v>
      </c>
      <c r="J22" s="9" t="s">
        <v>187</v>
      </c>
    </row>
    <row r="23" customFormat="false" ht="35.05" hidden="false" customHeight="false" outlineLevel="0" collapsed="false">
      <c r="A23" s="9" t="s">
        <v>188</v>
      </c>
      <c r="B23" s="9" t="s">
        <v>29</v>
      </c>
      <c r="C23" s="9" t="s">
        <v>189</v>
      </c>
      <c r="D23" s="9" t="s">
        <v>190</v>
      </c>
      <c r="E23" s="9" t="s">
        <v>191</v>
      </c>
      <c r="F23" s="9" t="s">
        <v>192</v>
      </c>
      <c r="G23" s="9" t="s">
        <v>193</v>
      </c>
      <c r="H23" s="9" t="s">
        <v>16</v>
      </c>
      <c r="I23" s="9" t="s">
        <v>153</v>
      </c>
      <c r="J23" s="9" t="s">
        <v>194</v>
      </c>
    </row>
    <row r="24" customFormat="false" ht="23.85" hidden="false" customHeight="false" outlineLevel="0" collapsed="false">
      <c r="A24" s="9" t="s">
        <v>195</v>
      </c>
      <c r="B24" s="9" t="s">
        <v>26</v>
      </c>
      <c r="C24" s="9" t="s">
        <v>196</v>
      </c>
      <c r="D24" s="9" t="s">
        <v>197</v>
      </c>
      <c r="E24" s="9" t="s">
        <v>198</v>
      </c>
      <c r="F24" s="9" t="s">
        <v>118</v>
      </c>
      <c r="G24" s="9" t="s">
        <v>199</v>
      </c>
      <c r="H24" s="9" t="s">
        <v>16</v>
      </c>
      <c r="I24" s="9" t="s">
        <v>153</v>
      </c>
      <c r="J24" s="9" t="s">
        <v>200</v>
      </c>
    </row>
    <row r="25" customFormat="false" ht="35.05" hidden="false" customHeight="false" outlineLevel="0" collapsed="false">
      <c r="A25" s="9" t="s">
        <v>201</v>
      </c>
      <c r="B25" s="9" t="s">
        <v>30</v>
      </c>
      <c r="C25" s="9" t="s">
        <v>50</v>
      </c>
      <c r="D25" s="9" t="s">
        <v>202</v>
      </c>
      <c r="E25" s="9" t="s">
        <v>203</v>
      </c>
      <c r="F25" s="9" t="s">
        <v>118</v>
      </c>
      <c r="G25" s="9" t="s">
        <v>204</v>
      </c>
      <c r="H25" s="9" t="s">
        <v>16</v>
      </c>
      <c r="I25" s="9" t="s">
        <v>63</v>
      </c>
      <c r="J25" s="9" t="s">
        <v>205</v>
      </c>
    </row>
    <row r="26" customFormat="false" ht="23.85" hidden="false" customHeight="false" outlineLevel="0" collapsed="false">
      <c r="A26" s="9" t="s">
        <v>206</v>
      </c>
      <c r="B26" s="9" t="s">
        <v>31</v>
      </c>
      <c r="C26" s="9" t="s">
        <v>207</v>
      </c>
      <c r="D26" s="9" t="s">
        <v>208</v>
      </c>
      <c r="E26" s="9" t="s">
        <v>209</v>
      </c>
      <c r="F26" s="9" t="s">
        <v>139</v>
      </c>
      <c r="G26" s="9" t="s">
        <v>210</v>
      </c>
      <c r="H26" s="9" t="s">
        <v>17</v>
      </c>
      <c r="I26" s="9" t="s">
        <v>63</v>
      </c>
      <c r="J26" s="9" t="s">
        <v>211</v>
      </c>
    </row>
    <row r="27" customFormat="false" ht="35.05" hidden="false" customHeight="false" outlineLevel="0" collapsed="false">
      <c r="A27" s="9" t="s">
        <v>212</v>
      </c>
      <c r="B27" s="9" t="s">
        <v>32</v>
      </c>
      <c r="C27" s="9" t="s">
        <v>122</v>
      </c>
      <c r="D27" s="9" t="s">
        <v>213</v>
      </c>
      <c r="E27" s="9" t="s">
        <v>214</v>
      </c>
      <c r="F27" s="9" t="s">
        <v>90</v>
      </c>
      <c r="G27" s="9" t="s">
        <v>215</v>
      </c>
      <c r="H27" s="9" t="s">
        <v>16</v>
      </c>
      <c r="I27" s="9" t="s">
        <v>153</v>
      </c>
      <c r="J27" s="9" t="s">
        <v>216</v>
      </c>
    </row>
    <row r="28" customFormat="false" ht="46.25" hidden="false" customHeight="false" outlineLevel="0" collapsed="false">
      <c r="A28" s="9" t="s">
        <v>217</v>
      </c>
      <c r="B28" s="9" t="s">
        <v>32</v>
      </c>
      <c r="C28" s="9" t="s">
        <v>218</v>
      </c>
      <c r="D28" s="9" t="s">
        <v>219</v>
      </c>
      <c r="E28" s="9" t="s">
        <v>220</v>
      </c>
      <c r="F28" s="9" t="s">
        <v>90</v>
      </c>
      <c r="G28" s="9" t="s">
        <v>221</v>
      </c>
      <c r="H28" s="9" t="s">
        <v>16</v>
      </c>
      <c r="I28" s="9" t="s">
        <v>153</v>
      </c>
      <c r="J28" s="9" t="s">
        <v>222</v>
      </c>
    </row>
    <row r="29" customFormat="false" ht="23.85" hidden="false" customHeight="false" outlineLevel="0" collapsed="false">
      <c r="A29" s="9" t="s">
        <v>223</v>
      </c>
      <c r="B29" s="9" t="s">
        <v>32</v>
      </c>
      <c r="C29" s="9" t="s">
        <v>122</v>
      </c>
      <c r="D29" s="9" t="s">
        <v>224</v>
      </c>
      <c r="E29" s="9" t="s">
        <v>225</v>
      </c>
      <c r="F29" s="9" t="s">
        <v>118</v>
      </c>
      <c r="G29" s="9" t="s">
        <v>226</v>
      </c>
      <c r="H29" s="9" t="s">
        <v>17</v>
      </c>
      <c r="I29" s="9" t="s">
        <v>161</v>
      </c>
      <c r="J29" s="9" t="s">
        <v>227</v>
      </c>
    </row>
    <row r="30" customFormat="false" ht="35.05" hidden="false" customHeight="false" outlineLevel="0" collapsed="false">
      <c r="A30" s="9" t="s">
        <v>228</v>
      </c>
      <c r="B30" s="9" t="s">
        <v>32</v>
      </c>
      <c r="C30" s="9" t="s">
        <v>122</v>
      </c>
      <c r="D30" s="9" t="s">
        <v>229</v>
      </c>
      <c r="E30" s="9" t="s">
        <v>230</v>
      </c>
      <c r="F30" s="9" t="s">
        <v>118</v>
      </c>
      <c r="G30" s="9" t="s">
        <v>231</v>
      </c>
      <c r="H30" s="9" t="s">
        <v>17</v>
      </c>
      <c r="I30" s="9" t="s">
        <v>153</v>
      </c>
      <c r="J30" s="9" t="s">
        <v>232</v>
      </c>
    </row>
    <row r="31" customFormat="false" ht="46.25" hidden="false" customHeight="false" outlineLevel="0" collapsed="false">
      <c r="A31" s="9" t="s">
        <v>233</v>
      </c>
      <c r="B31" s="9" t="s">
        <v>2</v>
      </c>
      <c r="C31" s="9" t="s">
        <v>234</v>
      </c>
      <c r="D31" s="9" t="s">
        <v>235</v>
      </c>
      <c r="E31" s="9" t="s">
        <v>236</v>
      </c>
      <c r="F31" s="9" t="s">
        <v>237</v>
      </c>
      <c r="G31" s="9" t="s">
        <v>238</v>
      </c>
      <c r="H31" s="9" t="s">
        <v>17</v>
      </c>
      <c r="I31" s="9" t="s">
        <v>239</v>
      </c>
      <c r="J31" s="9" t="s">
        <v>240</v>
      </c>
    </row>
  </sheetData>
  <conditionalFormatting sqref="H2:H31">
    <cfRule type="cellIs" priority="2" operator="equal" aboveAverage="0" equalAverage="0" bottom="0" percent="0" rank="0" text="" dxfId="6">
      <formula>"Alta"</formula>
    </cfRule>
    <cfRule type="cellIs" priority="3" operator="equal" aboveAverage="0" equalAverage="0" bottom="0" percent="0" rank="0" text="" dxfId="7">
      <formula>"Media"</formula>
    </cfRule>
    <cfRule type="cellIs" priority="4" operator="equal" aboveAverage="0" equalAverage="0" bottom="0" percent="0" rank="0" text="" dxfId="8">
      <formula>"Baja"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2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55"/>
    <col collapsed="false" customWidth="true" hidden="false" outlineLevel="0" max="7" min="7" style="0" width="48"/>
    <col collapsed="false" customWidth="true" hidden="false" outlineLevel="0" max="8" min="8" style="0" width="24"/>
  </cols>
  <sheetData>
    <row r="1" customFormat="false" ht="23.85" hidden="false" customHeight="false" outlineLevel="0" collapsed="false">
      <c r="A1" s="8" t="s">
        <v>34</v>
      </c>
      <c r="B1" s="8" t="s">
        <v>241</v>
      </c>
      <c r="C1" s="8" t="s">
        <v>242</v>
      </c>
      <c r="D1" s="8" t="s">
        <v>243</v>
      </c>
      <c r="E1" s="8" t="s">
        <v>244</v>
      </c>
      <c r="F1" s="8" t="s">
        <v>245</v>
      </c>
      <c r="G1" s="8" t="s">
        <v>246</v>
      </c>
      <c r="H1" s="8" t="s">
        <v>247</v>
      </c>
    </row>
    <row r="2" customFormat="false" ht="23.85" hidden="false" customHeight="false" outlineLevel="0" collapsed="false">
      <c r="A2" s="9" t="s">
        <v>66</v>
      </c>
      <c r="B2" s="9" t="s">
        <v>248</v>
      </c>
      <c r="C2" s="9" t="n">
        <v>177</v>
      </c>
      <c r="D2" s="9" t="n">
        <v>10</v>
      </c>
      <c r="E2" s="9" t="s">
        <v>249</v>
      </c>
      <c r="F2" s="9" t="s">
        <v>250</v>
      </c>
      <c r="G2" s="9" t="s">
        <v>251</v>
      </c>
      <c r="H2" s="9" t="s">
        <v>252</v>
      </c>
    </row>
    <row r="3" customFormat="false" ht="15" hidden="false" customHeight="false" outlineLevel="0" collapsed="false">
      <c r="A3" s="9" t="s">
        <v>253</v>
      </c>
      <c r="B3" s="9" t="s">
        <v>254</v>
      </c>
      <c r="C3" s="9" t="n">
        <v>64</v>
      </c>
      <c r="D3" s="9" t="n">
        <v>8</v>
      </c>
      <c r="E3" s="9" t="s">
        <v>255</v>
      </c>
      <c r="F3" s="9" t="s">
        <v>256</v>
      </c>
      <c r="G3" s="9" t="s">
        <v>257</v>
      </c>
      <c r="H3" s="9" t="s">
        <v>258</v>
      </c>
    </row>
    <row r="4" customFormat="false" ht="23.85" hidden="false" customHeight="false" outlineLevel="0" collapsed="false">
      <c r="A4" s="9" t="s">
        <v>259</v>
      </c>
      <c r="B4" s="9" t="s">
        <v>260</v>
      </c>
      <c r="C4" s="9" t="n">
        <v>54</v>
      </c>
      <c r="D4" s="9" t="n">
        <v>14</v>
      </c>
      <c r="E4" s="9" t="s">
        <v>261</v>
      </c>
      <c r="F4" s="9" t="s">
        <v>262</v>
      </c>
      <c r="G4" s="9" t="s">
        <v>263</v>
      </c>
      <c r="H4" s="9" t="s">
        <v>264</v>
      </c>
    </row>
    <row r="5" customFormat="false" ht="15" hidden="false" customHeight="false" outlineLevel="0" collapsed="false">
      <c r="A5" s="9" t="s">
        <v>115</v>
      </c>
      <c r="B5" s="9" t="s">
        <v>265</v>
      </c>
      <c r="C5" s="9" t="n">
        <v>45</v>
      </c>
      <c r="D5" s="9" t="n">
        <v>8</v>
      </c>
      <c r="E5" s="9" t="s">
        <v>258</v>
      </c>
      <c r="F5" s="9" t="s">
        <v>266</v>
      </c>
      <c r="G5" s="9" t="s">
        <v>267</v>
      </c>
      <c r="H5" s="9" t="s">
        <v>115</v>
      </c>
    </row>
    <row r="6" customFormat="false" ht="15" hidden="false" customHeight="false" outlineLevel="0" collapsed="false">
      <c r="A6" s="9" t="s">
        <v>268</v>
      </c>
      <c r="B6" s="9" t="s">
        <v>269</v>
      </c>
      <c r="C6" s="9" t="n">
        <v>43</v>
      </c>
      <c r="D6" s="9" t="n">
        <v>11</v>
      </c>
      <c r="E6" s="9" t="s">
        <v>258</v>
      </c>
      <c r="F6" s="9" t="s">
        <v>270</v>
      </c>
      <c r="G6" s="9" t="s">
        <v>257</v>
      </c>
      <c r="H6" s="9" t="s">
        <v>258</v>
      </c>
    </row>
    <row r="7" customFormat="false" ht="15" hidden="false" customHeight="false" outlineLevel="0" collapsed="false">
      <c r="A7" s="9" t="s">
        <v>271</v>
      </c>
      <c r="B7" s="9" t="s">
        <v>272</v>
      </c>
      <c r="C7" s="9" t="n">
        <v>43</v>
      </c>
      <c r="D7" s="9" t="n">
        <v>7</v>
      </c>
      <c r="E7" s="9" t="s">
        <v>273</v>
      </c>
      <c r="F7" s="9" t="s">
        <v>274</v>
      </c>
      <c r="G7" s="9" t="s">
        <v>275</v>
      </c>
      <c r="H7" s="9" t="s">
        <v>258</v>
      </c>
    </row>
    <row r="8" customFormat="false" ht="15" hidden="false" customHeight="false" outlineLevel="0" collapsed="false">
      <c r="A8" s="9" t="s">
        <v>136</v>
      </c>
      <c r="B8" s="9" t="s">
        <v>276</v>
      </c>
      <c r="C8" s="9" t="n">
        <v>51</v>
      </c>
      <c r="D8" s="9" t="n">
        <v>15</v>
      </c>
      <c r="E8" s="9" t="s">
        <v>258</v>
      </c>
      <c r="F8" s="9" t="s">
        <v>277</v>
      </c>
      <c r="G8" s="9" t="s">
        <v>278</v>
      </c>
      <c r="H8" s="9" t="s">
        <v>258</v>
      </c>
    </row>
    <row r="9" customFormat="false" ht="15" hidden="false" customHeight="false" outlineLevel="0" collapsed="false">
      <c r="A9" s="9" t="s">
        <v>279</v>
      </c>
      <c r="B9" s="9" t="s">
        <v>280</v>
      </c>
      <c r="C9" s="9" t="n">
        <v>51</v>
      </c>
      <c r="D9" s="9" t="n">
        <v>7</v>
      </c>
      <c r="E9" s="9" t="s">
        <v>258</v>
      </c>
      <c r="F9" s="9" t="s">
        <v>281</v>
      </c>
      <c r="G9" s="9" t="s">
        <v>282</v>
      </c>
      <c r="H9" s="9" t="s">
        <v>283</v>
      </c>
    </row>
    <row r="10" customFormat="false" ht="23.85" hidden="false" customHeight="false" outlineLevel="0" collapsed="false">
      <c r="A10" s="9" t="s">
        <v>284</v>
      </c>
      <c r="B10" s="9" t="s">
        <v>285</v>
      </c>
      <c r="C10" s="9" t="n">
        <v>100</v>
      </c>
      <c r="D10" s="9" t="n">
        <v>17</v>
      </c>
      <c r="E10" s="9" t="s">
        <v>286</v>
      </c>
      <c r="F10" s="9" t="s">
        <v>287</v>
      </c>
      <c r="G10" s="9" t="s">
        <v>288</v>
      </c>
      <c r="H10" s="9" t="s">
        <v>289</v>
      </c>
    </row>
    <row r="11" customFormat="false" ht="15" hidden="false" customHeight="false" outlineLevel="0" collapsed="false">
      <c r="A11" s="9" t="s">
        <v>290</v>
      </c>
      <c r="B11" s="9" t="s">
        <v>291</v>
      </c>
      <c r="C11" s="9" t="n">
        <v>64</v>
      </c>
      <c r="D11" s="9" t="n">
        <v>16</v>
      </c>
      <c r="E11" s="9" t="s">
        <v>258</v>
      </c>
      <c r="F11" s="9" t="s">
        <v>292</v>
      </c>
      <c r="G11" s="9" t="s">
        <v>293</v>
      </c>
      <c r="H11" s="9" t="s">
        <v>289</v>
      </c>
    </row>
    <row r="12" customFormat="false" ht="15" hidden="false" customHeight="false" outlineLevel="0" collapsed="false">
      <c r="A12" s="9" t="s">
        <v>294</v>
      </c>
      <c r="B12" s="9" t="s">
        <v>295</v>
      </c>
      <c r="C12" s="9" t="n">
        <v>49</v>
      </c>
      <c r="D12" s="9" t="n">
        <v>12</v>
      </c>
      <c r="E12" s="9" t="s">
        <v>258</v>
      </c>
      <c r="F12" s="9" t="s">
        <v>296</v>
      </c>
      <c r="G12" s="9" t="s">
        <v>297</v>
      </c>
      <c r="H12" s="9" t="s">
        <v>298</v>
      </c>
    </row>
    <row r="13" customFormat="false" ht="15" hidden="false" customHeight="false" outlineLevel="0" collapsed="false">
      <c r="A13" s="9" t="s">
        <v>87</v>
      </c>
      <c r="B13" s="9" t="s">
        <v>299</v>
      </c>
      <c r="C13" s="9" t="n">
        <v>82</v>
      </c>
      <c r="D13" s="9" t="n">
        <v>14</v>
      </c>
      <c r="E13" s="9" t="s">
        <v>300</v>
      </c>
      <c r="F13" s="9" t="s">
        <v>301</v>
      </c>
      <c r="G13" s="9" t="s">
        <v>302</v>
      </c>
      <c r="H13" s="9" t="s">
        <v>87</v>
      </c>
    </row>
    <row r="14" customFormat="false" ht="15" hidden="false" customHeight="false" outlineLevel="0" collapsed="false">
      <c r="A14" s="9" t="s">
        <v>207</v>
      </c>
      <c r="B14" s="9" t="s">
        <v>303</v>
      </c>
      <c r="C14" s="9" t="n">
        <v>72</v>
      </c>
      <c r="D14" s="9" t="n">
        <v>14</v>
      </c>
      <c r="E14" s="9" t="s">
        <v>273</v>
      </c>
      <c r="F14" s="9" t="s">
        <v>304</v>
      </c>
      <c r="G14" s="9" t="s">
        <v>305</v>
      </c>
      <c r="H14" s="9" t="s">
        <v>258</v>
      </c>
    </row>
    <row r="15" customFormat="false" ht="15" hidden="false" customHeight="false" outlineLevel="0" collapsed="false">
      <c r="A15" s="9" t="s">
        <v>306</v>
      </c>
      <c r="B15" s="9" t="s">
        <v>307</v>
      </c>
      <c r="C15" s="9" t="n">
        <v>190</v>
      </c>
      <c r="D15" s="9" t="n">
        <v>6</v>
      </c>
      <c r="E15" s="9" t="s">
        <v>308</v>
      </c>
      <c r="F15" s="9" t="s">
        <v>309</v>
      </c>
      <c r="G15" s="9" t="s">
        <v>258</v>
      </c>
      <c r="H15" s="9" t="s">
        <v>310</v>
      </c>
    </row>
    <row r="16" customFormat="false" ht="15" hidden="false" customHeight="false" outlineLevel="0" collapsed="false">
      <c r="A16" s="9" t="s">
        <v>311</v>
      </c>
      <c r="B16" s="9" t="s">
        <v>312</v>
      </c>
      <c r="C16" s="9" t="n">
        <v>81</v>
      </c>
      <c r="D16" s="9" t="n">
        <v>15</v>
      </c>
      <c r="E16" s="9" t="s">
        <v>258</v>
      </c>
      <c r="F16" s="9" t="s">
        <v>313</v>
      </c>
      <c r="G16" s="9" t="s">
        <v>314</v>
      </c>
      <c r="H16" s="9" t="s">
        <v>315</v>
      </c>
    </row>
    <row r="17" customFormat="false" ht="15" hidden="false" customHeight="false" outlineLevel="0" collapsed="false">
      <c r="A17" s="9" t="s">
        <v>316</v>
      </c>
      <c r="B17" s="9" t="s">
        <v>317</v>
      </c>
      <c r="C17" s="9" t="n">
        <v>107</v>
      </c>
      <c r="D17" s="9" t="n">
        <v>19</v>
      </c>
      <c r="E17" s="9" t="s">
        <v>249</v>
      </c>
      <c r="F17" s="9" t="s">
        <v>318</v>
      </c>
      <c r="G17" s="9" t="s">
        <v>319</v>
      </c>
      <c r="H17" s="9" t="s">
        <v>320</v>
      </c>
    </row>
    <row r="18" customFormat="false" ht="15" hidden="false" customHeight="false" outlineLevel="0" collapsed="false">
      <c r="A18" s="9" t="s">
        <v>321</v>
      </c>
      <c r="B18" s="9" t="s">
        <v>322</v>
      </c>
      <c r="C18" s="9" t="n">
        <v>60</v>
      </c>
      <c r="D18" s="9" t="n">
        <v>14</v>
      </c>
      <c r="E18" s="9" t="s">
        <v>258</v>
      </c>
      <c r="F18" s="9" t="s">
        <v>323</v>
      </c>
      <c r="G18" s="9" t="s">
        <v>324</v>
      </c>
      <c r="H18" s="9" t="s">
        <v>258</v>
      </c>
    </row>
    <row r="19" customFormat="false" ht="23.85" hidden="false" customHeight="false" outlineLevel="0" collapsed="false">
      <c r="A19" s="9" t="s">
        <v>325</v>
      </c>
      <c r="B19" s="9" t="s">
        <v>326</v>
      </c>
      <c r="C19" s="9" t="n">
        <v>128</v>
      </c>
      <c r="D19" s="9" t="n">
        <v>29</v>
      </c>
      <c r="E19" s="9" t="s">
        <v>327</v>
      </c>
      <c r="F19" s="9" t="s">
        <v>328</v>
      </c>
      <c r="G19" s="9" t="s">
        <v>329</v>
      </c>
      <c r="H19" s="9" t="s">
        <v>330</v>
      </c>
    </row>
    <row r="20" customFormat="false" ht="15" hidden="false" customHeight="false" outlineLevel="0" collapsed="false">
      <c r="A20" s="9" t="s">
        <v>331</v>
      </c>
      <c r="B20" s="9" t="s">
        <v>332</v>
      </c>
      <c r="C20" s="9" t="n">
        <v>64</v>
      </c>
      <c r="D20" s="9" t="n">
        <v>29</v>
      </c>
      <c r="E20" s="9" t="s">
        <v>333</v>
      </c>
      <c r="F20" s="9" t="s">
        <v>334</v>
      </c>
      <c r="G20" s="9" t="s">
        <v>335</v>
      </c>
      <c r="H20" s="9" t="s">
        <v>336</v>
      </c>
    </row>
    <row r="21" customFormat="false" ht="23.85" hidden="false" customHeight="false" outlineLevel="0" collapsed="false">
      <c r="A21" s="9" t="s">
        <v>337</v>
      </c>
      <c r="B21" s="9" t="s">
        <v>338</v>
      </c>
      <c r="C21" s="9" t="n">
        <v>48</v>
      </c>
      <c r="D21" s="9" t="n">
        <v>16</v>
      </c>
      <c r="E21" s="9" t="s">
        <v>258</v>
      </c>
      <c r="F21" s="9" t="s">
        <v>339</v>
      </c>
      <c r="G21" s="9" t="s">
        <v>340</v>
      </c>
      <c r="H21" s="9" t="s">
        <v>341</v>
      </c>
    </row>
    <row r="22" customFormat="false" ht="15" hidden="false" customHeight="false" outlineLevel="0" collapsed="false">
      <c r="A22" s="9" t="s">
        <v>342</v>
      </c>
      <c r="B22" s="9" t="s">
        <v>343</v>
      </c>
      <c r="C22" s="9" t="n">
        <v>36</v>
      </c>
      <c r="D22" s="9" t="n">
        <v>8</v>
      </c>
      <c r="E22" s="9" t="s">
        <v>258</v>
      </c>
      <c r="F22" s="9" t="s">
        <v>344</v>
      </c>
      <c r="G22" s="9" t="s">
        <v>258</v>
      </c>
      <c r="H22" s="9" t="s">
        <v>258</v>
      </c>
    </row>
    <row r="24" customFormat="false" ht="15" hidden="false" customHeight="false" outlineLevel="0" collapsed="false">
      <c r="A24" s="5" t="s">
        <v>16</v>
      </c>
      <c r="B24" s="5"/>
      <c r="C24" s="5" t="n">
        <f aca="false">ROUND(AVERAGE(C2:C22),0)</f>
        <v>77</v>
      </c>
      <c r="D24" s="5" t="n">
        <f aca="false">ROUND(AVERAGE(D2:D22),1)</f>
        <v>13.8</v>
      </c>
      <c r="E24" s="5"/>
      <c r="F24" s="5"/>
      <c r="G24" s="5"/>
      <c r="H24" s="5"/>
    </row>
    <row r="25" customFormat="false" ht="15" hidden="false" customHeight="false" outlineLevel="0" collapsed="false">
      <c r="A25" s="5" t="s">
        <v>345</v>
      </c>
      <c r="B25" s="5"/>
      <c r="C25" s="5" t="n">
        <f aca="false">MAX(C2:C22)</f>
        <v>190</v>
      </c>
      <c r="D25" s="5" t="n">
        <f aca="false">MAX(D2:D22)</f>
        <v>29</v>
      </c>
      <c r="E25" s="5"/>
      <c r="F25" s="5"/>
      <c r="G25" s="5"/>
      <c r="H25" s="5"/>
    </row>
    <row r="27" customFormat="false" ht="15" hidden="false" customHeight="false" outlineLevel="0" collapsed="false">
      <c r="A27" s="2" t="s">
        <v>346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8" t="s">
        <v>347</v>
      </c>
      <c r="B1" s="8" t="s">
        <v>348</v>
      </c>
      <c r="C1" s="8" t="s">
        <v>349</v>
      </c>
      <c r="D1" s="8" t="s">
        <v>350</v>
      </c>
      <c r="E1" s="8" t="s">
        <v>351</v>
      </c>
    </row>
    <row r="2" customFormat="false" ht="23.85" hidden="false" customHeight="false" outlineLevel="0" collapsed="false">
      <c r="A2" s="9" t="s">
        <v>352</v>
      </c>
      <c r="B2" s="9" t="s">
        <v>353</v>
      </c>
      <c r="C2" s="9" t="s">
        <v>354</v>
      </c>
      <c r="D2" s="9" t="s">
        <v>355</v>
      </c>
      <c r="E2" s="9" t="s">
        <v>356</v>
      </c>
    </row>
    <row r="3" customFormat="false" ht="15" hidden="false" customHeight="false" outlineLevel="0" collapsed="false">
      <c r="A3" s="9" t="s">
        <v>357</v>
      </c>
      <c r="B3" s="9" t="s">
        <v>358</v>
      </c>
      <c r="C3" s="9" t="s">
        <v>354</v>
      </c>
      <c r="D3" s="9" t="s">
        <v>359</v>
      </c>
      <c r="E3" s="9" t="s">
        <v>360</v>
      </c>
    </row>
    <row r="4" customFormat="false" ht="15" hidden="false" customHeight="false" outlineLevel="0" collapsed="false">
      <c r="A4" s="9" t="s">
        <v>361</v>
      </c>
      <c r="B4" s="9" t="s">
        <v>171</v>
      </c>
      <c r="C4" s="9" t="s">
        <v>354</v>
      </c>
      <c r="D4" s="9" t="s">
        <v>362</v>
      </c>
      <c r="E4" s="9" t="s">
        <v>258</v>
      </c>
    </row>
    <row r="5" customFormat="false" ht="15" hidden="false" customHeight="false" outlineLevel="0" collapsed="false">
      <c r="A5" s="9" t="s">
        <v>363</v>
      </c>
      <c r="B5" s="9" t="s">
        <v>358</v>
      </c>
      <c r="C5" s="9" t="s">
        <v>354</v>
      </c>
      <c r="D5" s="9" t="s">
        <v>355</v>
      </c>
      <c r="E5" s="9" t="s">
        <v>258</v>
      </c>
    </row>
    <row r="6" customFormat="false" ht="15" hidden="false" customHeight="false" outlineLevel="0" collapsed="false">
      <c r="A6" s="9" t="s">
        <v>364</v>
      </c>
      <c r="B6" s="9" t="s">
        <v>358</v>
      </c>
      <c r="C6" s="9" t="s">
        <v>354</v>
      </c>
      <c r="D6" s="9" t="s">
        <v>365</v>
      </c>
      <c r="E6" s="9" t="s">
        <v>258</v>
      </c>
    </row>
    <row r="7" customFormat="false" ht="15" hidden="false" customHeight="false" outlineLevel="0" collapsed="false">
      <c r="A7" s="9" t="s">
        <v>366</v>
      </c>
      <c r="B7" s="9" t="s">
        <v>367</v>
      </c>
      <c r="C7" s="9" t="s">
        <v>354</v>
      </c>
      <c r="D7" s="9" t="s">
        <v>368</v>
      </c>
      <c r="E7" s="9" t="s">
        <v>369</v>
      </c>
    </row>
    <row r="8" customFormat="false" ht="15" hidden="false" customHeight="false" outlineLevel="0" collapsed="false">
      <c r="A8" s="9" t="s">
        <v>370</v>
      </c>
      <c r="B8" s="9" t="s">
        <v>371</v>
      </c>
      <c r="C8" s="9" t="s">
        <v>354</v>
      </c>
      <c r="D8" s="9" t="s">
        <v>372</v>
      </c>
      <c r="E8" s="9" t="s">
        <v>373</v>
      </c>
    </row>
    <row r="9" customFormat="false" ht="15" hidden="false" customHeight="false" outlineLevel="0" collapsed="false">
      <c r="A9" s="9" t="s">
        <v>374</v>
      </c>
      <c r="B9" s="9" t="s">
        <v>375</v>
      </c>
      <c r="C9" s="9" t="s">
        <v>376</v>
      </c>
      <c r="D9" s="9" t="s">
        <v>377</v>
      </c>
      <c r="E9" s="9" t="s">
        <v>378</v>
      </c>
    </row>
    <row r="10" customFormat="false" ht="15" hidden="false" customHeight="false" outlineLevel="0" collapsed="false">
      <c r="A10" s="9" t="s">
        <v>379</v>
      </c>
      <c r="B10" s="9" t="s">
        <v>380</v>
      </c>
      <c r="C10" s="9" t="s">
        <v>122</v>
      </c>
      <c r="D10" s="9" t="s">
        <v>381</v>
      </c>
      <c r="E10" s="9" t="s">
        <v>382</v>
      </c>
    </row>
    <row r="11" customFormat="false" ht="15" hidden="false" customHeight="false" outlineLevel="0" collapsed="false">
      <c r="A11" s="9" t="s">
        <v>383</v>
      </c>
      <c r="B11" s="9" t="s">
        <v>358</v>
      </c>
      <c r="C11" s="9" t="s">
        <v>122</v>
      </c>
      <c r="D11" s="9" t="s">
        <v>381</v>
      </c>
      <c r="E11" s="9" t="s">
        <v>384</v>
      </c>
    </row>
    <row r="12" customFormat="false" ht="15" hidden="false" customHeight="false" outlineLevel="0" collapsed="false">
      <c r="A12" s="9" t="s">
        <v>385</v>
      </c>
      <c r="B12" s="9" t="s">
        <v>386</v>
      </c>
      <c r="C12" s="9" t="s">
        <v>387</v>
      </c>
      <c r="D12" s="9" t="s">
        <v>388</v>
      </c>
      <c r="E12" s="9" t="s">
        <v>389</v>
      </c>
    </row>
    <row r="13" customFormat="false" ht="15" hidden="false" customHeight="false" outlineLevel="0" collapsed="false">
      <c r="A13" s="9" t="s">
        <v>390</v>
      </c>
      <c r="B13" s="9" t="s">
        <v>380</v>
      </c>
      <c r="C13" s="9" t="s">
        <v>391</v>
      </c>
      <c r="D13" s="9" t="s">
        <v>392</v>
      </c>
      <c r="E13" s="9" t="s">
        <v>393</v>
      </c>
    </row>
    <row r="14" customFormat="false" ht="15" hidden="false" customHeight="false" outlineLevel="0" collapsed="false">
      <c r="A14" s="9" t="s">
        <v>394</v>
      </c>
      <c r="B14" s="9" t="s">
        <v>395</v>
      </c>
      <c r="C14" s="9" t="s">
        <v>375</v>
      </c>
      <c r="D14" s="9" t="s">
        <v>396</v>
      </c>
      <c r="E14" s="9" t="s">
        <v>397</v>
      </c>
    </row>
    <row r="15" customFormat="false" ht="15" hidden="false" customHeight="false" outlineLevel="0" collapsed="false">
      <c r="A15" s="9" t="s">
        <v>398</v>
      </c>
      <c r="B15" s="9" t="s">
        <v>375</v>
      </c>
      <c r="C15" s="9" t="s">
        <v>399</v>
      </c>
      <c r="D15" s="9" t="s">
        <v>355</v>
      </c>
      <c r="E15" s="9" t="s">
        <v>258</v>
      </c>
    </row>
    <row r="16" customFormat="false" ht="15" hidden="false" customHeight="false" outlineLevel="0" collapsed="false">
      <c r="A16" s="9" t="s">
        <v>400</v>
      </c>
      <c r="B16" s="9" t="s">
        <v>401</v>
      </c>
      <c r="C16" s="9" t="s">
        <v>402</v>
      </c>
      <c r="D16" s="9" t="s">
        <v>365</v>
      </c>
      <c r="E16" s="9" t="s">
        <v>258</v>
      </c>
    </row>
    <row r="17" customFormat="false" ht="23.85" hidden="false" customHeight="false" outlineLevel="0" collapsed="false">
      <c r="A17" s="9" t="s">
        <v>403</v>
      </c>
      <c r="B17" s="9" t="s">
        <v>404</v>
      </c>
      <c r="C17" s="9" t="s">
        <v>405</v>
      </c>
      <c r="D17" s="9" t="s">
        <v>355</v>
      </c>
      <c r="E17" s="9" t="s">
        <v>258</v>
      </c>
    </row>
    <row r="18" customFormat="false" ht="15" hidden="false" customHeight="false" outlineLevel="0" collapsed="false">
      <c r="A18" s="9" t="s">
        <v>406</v>
      </c>
      <c r="B18" s="9" t="s">
        <v>258</v>
      </c>
      <c r="C18" s="9" t="s">
        <v>258</v>
      </c>
      <c r="D18" s="9" t="s">
        <v>407</v>
      </c>
      <c r="E18" s="9" t="s">
        <v>408</v>
      </c>
    </row>
    <row r="19" customFormat="false" ht="15" hidden="false" customHeight="false" outlineLevel="0" collapsed="false">
      <c r="A19" s="9" t="s">
        <v>409</v>
      </c>
      <c r="B19" s="9" t="s">
        <v>258</v>
      </c>
      <c r="C19" s="9" t="s">
        <v>258</v>
      </c>
      <c r="D19" s="9" t="s">
        <v>407</v>
      </c>
      <c r="E19" s="9" t="s">
        <v>410</v>
      </c>
    </row>
    <row r="20" customFormat="false" ht="15" hidden="false" customHeight="false" outlineLevel="0" collapsed="false">
      <c r="A20" s="9" t="s">
        <v>411</v>
      </c>
      <c r="B20" s="9" t="s">
        <v>258</v>
      </c>
      <c r="C20" s="9" t="s">
        <v>258</v>
      </c>
      <c r="D20" s="9" t="s">
        <v>407</v>
      </c>
      <c r="E20" s="9" t="s">
        <v>412</v>
      </c>
    </row>
    <row r="21" customFormat="false" ht="23.85" hidden="false" customHeight="false" outlineLevel="0" collapsed="false">
      <c r="A21" s="9" t="s">
        <v>413</v>
      </c>
      <c r="B21" s="9" t="s">
        <v>258</v>
      </c>
      <c r="C21" s="9" t="s">
        <v>258</v>
      </c>
      <c r="D21" s="9" t="s">
        <v>414</v>
      </c>
      <c r="E21" s="9" t="s">
        <v>415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2026-10-08T22:46:20Z</dcterms:created>
  <dc:creator>openpyxl</dc:creator>
  <dc:description/>
  <dc:language>en-US</dc:language>
  <cp:lastModifiedBy/>
  <dcterms:modified xsi:type="dcterms:W3CDTF">2026-10-08T22:46:20Z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