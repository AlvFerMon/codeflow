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blemas" sheetId="2" state="visible" r:id="rId2"/>
    <sheet xmlns:r="http://schemas.openxmlformats.org/officeDocument/2006/relationships" name="Pantallas" sheetId="3" state="visible" r:id="rId3"/>
    <sheet xmlns:r="http://schemas.openxmlformats.org/officeDocument/2006/relationships" name="Component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color rgb="FF475569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9" fillId="2" borderId="0" applyAlignment="1" pivotButton="0" quotePrefix="0" xfId="0">
      <alignment vertical="top" wrapText="1"/>
    </xf>
    <xf numFmtId="0" fontId="7" fillId="0" borderId="1" applyAlignment="1" pivotButton="0" quotePrefix="0" xfId="0">
      <alignment horizontal="general" vertical="top" wrapText="1"/>
    </xf>
    <xf numFmtId="0" fontId="10" fillId="3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E29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Problemas" displayName="TablaProblemas" ref="A1:J31" headerRowCount="1" totalsRowCount="0" totalsRowShown="0">
  <autoFilter ref="A1:J31"/>
  <tableColumns count="10">
    <tableColumn id="1" name="ID"/>
    <tableColumn id="2" name="Área"/>
    <tableColumn id="3" name="Pantalla"/>
    <tableColumn id="4" name="Problema"/>
    <tableColumn id="5" name="Evidencia (medida)"/>
    <tableColumn id="6" name="Impacto"/>
    <tableColumn id="7" name="Solución propuesta"/>
    <tableColumn id="8" name="Prioridad"/>
    <tableColumn id="9" name="Fase"/>
    <tableColumn id="10" name="Archivos afectados"/>
  </tableColumns>
</table>
</file>

<file path=xl/tables/table2.xml><?xml version="1.0" encoding="utf-8"?>
<table xmlns="http://schemas.openxmlformats.org/spreadsheetml/2006/main" id="2" name="TablaPantallas" displayName="TablaPantallas" ref="A1:H22" headerRowCount="1" totalsRowCount="0" totalsRowShown="0">
  <autoFilter ref="A1:H22"/>
  <tableColumns count="8">
    <tableColumn id="1" name="Pantalla"/>
    <tableColumn id="2" name="Ruta"/>
    <tableColumn id="3" name="Servidor (ms)"/>
    <tableColumn id="4" name="Consultas SQL"/>
    <tableColumn id="5" name="HTML"/>
    <tableColumn id="6" name="Qué carga"/>
    <tableColumn id="7" name="Consultas a revisar"/>
    <tableColumn id="8" name="Colecciones sin límite"/>
  </tableColumns>
</table>
</file>

<file path=xl/tables/table3.xml><?xml version="1.0" encoding="utf-8"?>
<table xmlns="http://schemas.openxmlformats.org/spreadsheetml/2006/main" id="3" name="TablaComponentes" displayName="TablaComponentes" ref="A1:E21" headerRowCount="1" totalsRowCount="0" totalsRowShown="0">
  <autoFilter ref="A1:E21"/>
  <tableColumns count="5">
    <tableColumn id="1" name="Componente"/>
    <tableColumn id="2" name="Tipo"/>
    <tableColumn id="3" name="Dónde se usa"/>
    <tableColumn id="4" name="Estado"/>
    <tableColumn id="5" name="Propuest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0" min="1" max="1"/>
    <col width="120" customWidth="1" style="10" min="2" max="2"/>
  </cols>
  <sheetData>
    <row r="1" ht="19.7" customHeight="1" s="11">
      <c r="A1" s="12" t="inlineStr">
        <is>
          <t>CodeFlow · Auditoría UI/UX y rendimiento (Fase 1)</t>
        </is>
      </c>
    </row>
    <row r="2" ht="15" customHeight="1" s="11">
      <c r="A2" s="13" t="inlineStr">
        <is>
          <t>9 de octubre de 2026 · Sin cambios de código: solo análisis y medición.</t>
        </is>
      </c>
    </row>
    <row r="4" ht="23.85" customHeight="1" s="11">
      <c r="A4" s="14" t="inlineStr">
        <is>
          <t>Frontend</t>
        </is>
      </c>
      <c r="B4" s="15" t="inlineStr">
        <is>
          <t>Laravel Blade renderizado en el servidor + Tailwind CSS 4 (Vite). JS vanilla: 5 KB (solo la subida de archivos). Sin frameworks ni librerías visuales. CSS 44 KB (≈9 KB comprimido).</t>
        </is>
      </c>
    </row>
    <row r="5" ht="23.85" customHeight="1" s="11">
      <c r="A5" s="14" t="inlineStr">
        <is>
          <t>Organización UI</t>
        </is>
      </c>
      <c r="B5" s="15" t="inlineStr">
        <is>
          <t>Layout común (cabecera oscura + contenido), 21 pantallas, 32 componentes Blade (algunos duplicados por módulo), cabecera de repositorio con pestañas.</t>
        </is>
      </c>
    </row>
    <row r="6" ht="23.85" customHeight="1" s="11">
      <c r="A6" s="14" t="inlineStr">
        <is>
          <t>Lo que ya está bien</t>
        </is>
      </c>
      <c r="B6" s="15" t="inlineStr">
        <is>
          <t>Paginación en proyectos (18), issues (25), PRs (25), commits (30), actividad (30), notificaciones (20) y explorar (20). Sin consultas N+1: relaciones precargadas con columnas concretas. Tiempos de 40-130 ms. Autorización con policies en todas las rutas.</t>
        </is>
      </c>
    </row>
    <row r="7" ht="23.85" customHeight="1" s="11">
      <c r="A7" s="14" t="inlineStr">
        <is>
          <t>Lo más urgente</t>
        </is>
      </c>
      <c r="B7" s="15" t="inlineStr">
        <is>
          <t>R01 diff sin límite (6,3 MB en un commit grande) · R02 PR recalcula grafo/diff 3 veces · R03 comentarios sin paginar · R04 dashboard con todos los proyectos · U01 errores en inglés · U02 navegación y pestañas de proyecto · U03 ayudas para no técnicos.</t>
        </is>
      </c>
    </row>
    <row r="8" ht="35.05" customHeight="1" s="11">
      <c r="A8" s="14" t="inlineStr">
        <is>
          <t>Propuesta de orden</t>
        </is>
      </c>
      <c r="B8" s="15" t="inlineStr">
        <is>
          <t>Fase 2: U01, U02 (layout), U03, U04, U05, U06, U07, U08, A01-A04. Fase 3, pantalla a pantalla: Dashboard (R04), Proyectos (R09), Proyecto (R08), Código (R06), Ramas (R07), Commits (R05), Issues (R03, R10), PRs (R01-R03), Miembros (R11). Fase 4: R05, R06, R10, R12-R15 y caché de diffs.</t>
        </is>
      </c>
    </row>
    <row r="10" ht="15" customHeight="1" s="11">
      <c r="A10" s="16" t="inlineStr">
        <is>
          <t>Problemas por prioridad</t>
        </is>
      </c>
    </row>
    <row r="11" ht="15" customHeight="1" s="11">
      <c r="A11" s="17" t="inlineStr">
        <is>
          <t>Prioridad</t>
        </is>
      </c>
      <c r="B11" s="17" t="inlineStr">
        <is>
          <t>Nº problemas</t>
        </is>
      </c>
    </row>
    <row r="12" ht="15" customHeight="1" s="11">
      <c r="A12" s="18" t="inlineStr">
        <is>
          <t>Alta</t>
        </is>
      </c>
      <c r="B12" s="18">
        <f>COUNTIF(Problemas!H:H,"Alta")</f>
        <v/>
      </c>
    </row>
    <row r="13" ht="15" customHeight="1" s="11">
      <c r="A13" s="18" t="inlineStr">
        <is>
          <t>Media</t>
        </is>
      </c>
      <c r="B13" s="18">
        <f>COUNTIF(Problemas!H:H,"Media")</f>
        <v/>
      </c>
    </row>
    <row r="14" ht="15" customHeight="1" s="11">
      <c r="A14" s="18" t="inlineStr">
        <is>
          <t>Baja</t>
        </is>
      </c>
      <c r="B14" s="18">
        <f>COUNTIF(Problemas!H:H,"Baja")</f>
        <v/>
      </c>
    </row>
    <row r="15" ht="15" customHeight="1" s="11">
      <c r="A15" s="16" t="inlineStr">
        <is>
          <t>Total</t>
        </is>
      </c>
      <c r="B15" s="16">
        <f>SUM(B12:B14)</f>
        <v/>
      </c>
    </row>
    <row r="17" ht="15" customHeight="1" s="11">
      <c r="A17" s="16" t="inlineStr">
        <is>
          <t>Problemas por área</t>
        </is>
      </c>
    </row>
    <row r="18" ht="15" customHeight="1" s="11">
      <c r="A18" s="17" t="inlineStr">
        <is>
          <t>Área</t>
        </is>
      </c>
      <c r="B18" s="17" t="inlineStr">
        <is>
          <t>Nº problemas</t>
        </is>
      </c>
    </row>
    <row r="19" ht="15" customHeight="1" s="11">
      <c r="A19" s="18" t="inlineStr">
        <is>
          <t>Rendimiento / datos</t>
        </is>
      </c>
      <c r="B19" s="18">
        <f>COUNTIF(Problemas!B:B,"Rendimiento / datos")</f>
        <v/>
      </c>
    </row>
    <row r="20" ht="15" customHeight="1" s="11">
      <c r="A20" s="18" t="inlineStr">
        <is>
          <t>API</t>
        </is>
      </c>
      <c r="B20" s="18">
        <f>COUNTIF(Problemas!B:B,"API")</f>
        <v/>
      </c>
    </row>
    <row r="21" ht="15" customHeight="1" s="11">
      <c r="A21" s="18" t="inlineStr">
        <is>
          <t>UX / errores</t>
        </is>
      </c>
      <c r="B21" s="18">
        <f>COUNTIF(Problemas!B:B,"UX / errores")</f>
        <v/>
      </c>
    </row>
    <row r="22" ht="15" customHeight="1" s="11">
      <c r="A22" s="18" t="inlineStr">
        <is>
          <t>UX / navegación</t>
        </is>
      </c>
      <c r="B22" s="18">
        <f>COUNTIF(Problemas!B:B,"UX / navegación")</f>
        <v/>
      </c>
    </row>
    <row r="23" ht="15" customHeight="1" s="11">
      <c r="A23" s="18" t="inlineStr">
        <is>
          <t>UX / usuarios no técnicos</t>
        </is>
      </c>
      <c r="B23" s="18">
        <f>COUNTIF(Problemas!B:B,"UX / usuarios no técnicos")</f>
        <v/>
      </c>
    </row>
    <row r="24" ht="15" customHeight="1" s="11">
      <c r="A24" s="18" t="inlineStr">
        <is>
          <t>UX / feedback</t>
        </is>
      </c>
      <c r="B24" s="18">
        <f>COUNTIF(Problemas!B:B,"UX / feedback")</f>
        <v/>
      </c>
    </row>
    <row r="25" ht="15" customHeight="1" s="11">
      <c r="A25" s="18" t="inlineStr">
        <is>
          <t>UX / estados vacíos</t>
        </is>
      </c>
      <c r="B25" s="18">
        <f>COUNTIF(Problemas!B:B,"UX / estados vacíos")</f>
        <v/>
      </c>
    </row>
    <row r="26" ht="15" customHeight="1" s="11">
      <c r="A26" s="18" t="inlineStr">
        <is>
          <t>UX / acciones destructivas</t>
        </is>
      </c>
      <c r="B26" s="18">
        <f>COUNTIF(Problemas!B:B,"UX / acciones destructivas")</f>
        <v/>
      </c>
    </row>
    <row r="27" ht="15" customHeight="1" s="11">
      <c r="A27" s="18" t="inlineStr">
        <is>
          <t>Design system</t>
        </is>
      </c>
      <c r="B27" s="18">
        <f>COUNTIF(Problemas!B:B,"Design system")</f>
        <v/>
      </c>
    </row>
    <row r="28" ht="15" customHeight="1" s="11">
      <c r="A28" s="18" t="inlineStr">
        <is>
          <t>UX / formularios</t>
        </is>
      </c>
      <c r="B28" s="18">
        <f>COUNTIF(Problemas!B:B,"UX / formularios")</f>
        <v/>
      </c>
    </row>
    <row r="29" ht="15" customHeight="1" s="11">
      <c r="A29" s="18" t="inlineStr">
        <is>
          <t>UX / código</t>
        </is>
      </c>
      <c r="B29" s="18">
        <f>COUNTIF(Problemas!B:B,"UX / código")</f>
        <v/>
      </c>
    </row>
    <row r="30" ht="15" customHeight="1" s="11">
      <c r="A30" s="18" t="inlineStr">
        <is>
          <t>Accesibilidad</t>
        </is>
      </c>
      <c r="B30" s="18">
        <f>COUNTIF(Problemas!B:B,"Accesibilidad")</f>
        <v/>
      </c>
    </row>
    <row r="31" ht="15" customHeight="1" s="11">
      <c r="A31" s="18" t="inlineStr">
        <is>
          <t>Frontend</t>
        </is>
      </c>
      <c r="B31" s="18">
        <f>COUNTIF(Problemas!B:B,"Frontend")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18" customWidth="1" style="10" min="2" max="2"/>
    <col width="22" customWidth="1" style="10" min="3" max="3"/>
    <col width="48" customWidth="1" style="10" min="4" max="4"/>
    <col width="40" customWidth="1" style="10" min="5" max="5"/>
    <col width="26" customWidth="1" style="10" min="6" max="6"/>
    <col width="55" customWidth="1" style="10" min="7" max="7"/>
    <col width="10" customWidth="1" style="10" min="8" max="8"/>
    <col width="7" customWidth="1" style="10" min="9" max="9"/>
    <col width="40" customWidth="1" style="10" min="10" max="10"/>
    <col width="12" customWidth="1" style="11" min="11" max="11"/>
    <col width="60" customWidth="1" style="11" min="12" max="12"/>
  </cols>
  <sheetData>
    <row r="1" ht="15" customHeight="1" s="11">
      <c r="A1" s="19" t="inlineStr">
        <is>
          <t>ID</t>
        </is>
      </c>
      <c r="B1" s="19" t="inlineStr">
        <is>
          <t>Área</t>
        </is>
      </c>
      <c r="C1" s="19" t="inlineStr">
        <is>
          <t>Pantalla</t>
        </is>
      </c>
      <c r="D1" s="19" t="inlineStr">
        <is>
          <t>Problema</t>
        </is>
      </c>
      <c r="E1" s="19" t="inlineStr">
        <is>
          <t>Evidencia (medida)</t>
        </is>
      </c>
      <c r="F1" s="19" t="inlineStr">
        <is>
          <t>Impacto</t>
        </is>
      </c>
      <c r="G1" s="19" t="inlineStr">
        <is>
          <t>Solución propuesta</t>
        </is>
      </c>
      <c r="H1" s="19" t="inlineStr">
        <is>
          <t>Prioridad</t>
        </is>
      </c>
      <c r="I1" s="19" t="inlineStr">
        <is>
          <t>Fase</t>
        </is>
      </c>
      <c r="J1" s="19" t="inlineStr">
        <is>
          <t>Archivos afectados</t>
        </is>
      </c>
      <c r="K1" s="20" t="inlineStr">
        <is>
          <t>Estado</t>
        </is>
      </c>
      <c r="L1" s="20" t="inlineStr">
        <is>
          <t>Cómo se resolvió (9/10/2026)</t>
        </is>
      </c>
    </row>
    <row r="2" ht="46.25" customHeight="1" s="11">
      <c r="A2" s="21" t="inlineStr">
        <is>
          <t>R01</t>
        </is>
      </c>
      <c r="B2" s="21" t="inlineStr">
        <is>
          <t>Rendimiento / datos</t>
        </is>
      </c>
      <c r="C2" s="21" t="inlineStr">
        <is>
          <t>Detalle de commit y pestaña Archivos del PR</t>
        </is>
      </c>
      <c r="D2" s="21" t="inlineStr">
        <is>
          <t>El diff se renderiza completo, sin límite de archivos ni de líneas.</t>
        </is>
      </c>
      <c r="E2" s="21" t="inlineStr">
        <is>
          <t>Commit con 150 archivos nuevos: HTML de 6,3 MB y 12.450 filas de tabla (servidor 0,19 s; el navegador tarda mucho más en pintarlo).</t>
        </is>
      </c>
      <c r="F2" s="21" t="inlineStr">
        <is>
          <t>Muy alto: la pantalla puede bloquear el navegador en commits o PR grandes.</t>
        </is>
      </c>
      <c r="G2" s="21" t="inlineStr">
        <is>
          <t>Mostrar primero la lista de archivos (ruta, +/−) y cargar el diff de cada archivo bajo demanda al desplegarlo (fragmento HTML por petición). Mostrar como máximo ~400 líneas por archivo con «Ver más». Sin librerías.</t>
        </is>
      </c>
      <c r="H2" s="21" t="inlineStr">
        <is>
          <t>Alta</t>
        </is>
      </c>
      <c r="I2" s="21" t="inlineStr">
        <is>
          <t>3-4</t>
        </is>
      </c>
      <c r="J2" s="21" t="inlineStr">
        <is>
          <t>Web/Code/CommitController@show, Web/Collab/PullRequestController@show, components/diff.blade.php, VcsService::diff</t>
        </is>
      </c>
      <c r="K2" s="22" t="inlineStr">
        <is>
          <t>Resuelto</t>
        </is>
      </c>
      <c r="L2" s="23" t="inlineStr">
        <is>
          <t>Lista de archivos + 5 primeros pintados; el resto se carga al desplegar (commits.diff / pulls.diff); 400 líneas por archivo con «Mostrar el resto».</t>
        </is>
      </c>
    </row>
    <row r="3" ht="46.25" customHeight="1" s="11">
      <c r="A3" s="21" t="inlineStr">
        <is>
          <t>R02</t>
        </is>
      </c>
      <c r="B3" s="21" t="inlineStr">
        <is>
          <t>Rendimiento / datos</t>
        </is>
      </c>
      <c r="C3" s="21" t="inlineStr">
        <is>
          <t>Detalle de PR</t>
        </is>
      </c>
      <c r="D3" s="21" t="inlineStr">
        <is>
          <t>Se calcula el diff completo aunque se esté en la pestaña Conversación (solo para el contador de archivos). El grafo de commits se carga 3 veces y el árbol de archivos 3 veces en la misma petición.</t>
        </is>
      </c>
      <c r="E3" s="21" t="inlineStr">
        <is>
          <t>29 consultas, 128 ms (la pantalla más lenta).</t>
        </is>
      </c>
      <c r="F3" s="21" t="inlineStr">
        <is>
          <t>Alto: coste que crece con el tamaño del repositorio y del PR.</t>
        </is>
      </c>
      <c r="G3" s="21" t="inlineStr">
        <is>
          <t>Memorizar graph() y tree() por petición en VcsService (ya es singleton). Contador de archivos comparando árboles sin calcular líneas. Cachear el resultado del diff por pareja de commits (los commits son inmutables: no hace falta invalidar).</t>
        </is>
      </c>
      <c r="H3" s="21" t="inlineStr">
        <is>
          <t>Alta</t>
        </is>
      </c>
      <c r="I3" s="21" t="inlineStr">
        <is>
          <t>4</t>
        </is>
      </c>
      <c r="J3" s="21" t="inlineStr">
        <is>
          <t>Web/Collab/PullRequestController@show, PullRequestService::files/mergeability, VcsService</t>
        </is>
      </c>
      <c r="K3" s="22" t="inlineStr">
        <is>
          <t>Resuelto</t>
        </is>
      </c>
      <c r="L3" s="23" t="inlineStr">
        <is>
          <t>graph() y tree() memorizados por petición en VcsService; resumen del diff en caché por pareja de commits.</t>
        </is>
      </c>
    </row>
    <row r="4" ht="35.05" customHeight="1" s="11">
      <c r="A4" s="21" t="inlineStr">
        <is>
          <t>R03</t>
        </is>
      </c>
      <c r="B4" s="21" t="inlineStr">
        <is>
          <t>Rendimiento / datos</t>
        </is>
      </c>
      <c r="C4" s="21" t="inlineStr">
        <is>
          <t>Detalle de issue y de PR</t>
        </is>
      </c>
      <c r="D4" s="21" t="inlineStr">
        <is>
          <t>Se cargan todos los comentarios y toda la actividad, sin paginar ni limitar.</t>
        </is>
      </c>
      <c r="E4" s="21" t="inlineStr">
        <is>
          <t>Issue con 43 comentarios: 67 KB de HTML; PR con 42 comentarios: 76 KB. Crece sin límite.</t>
        </is>
      </c>
      <c r="F4" s="21" t="inlineStr">
        <is>
          <t>Alto con conversaciones largas.</t>
        </is>
      </c>
      <c r="G4" s="21" t="inlineStr">
        <is>
          <t>Mostrar los 20 comentarios más recientes con «Cargar comentarios anteriores» (paginación por id). Limitar el historial de eventos a la misma ventana temporal.</t>
        </is>
      </c>
      <c r="H4" s="21" t="inlineStr">
        <is>
          <t>Alta</t>
        </is>
      </c>
      <c r="I4" s="21" t="inlineStr">
        <is>
          <t>3</t>
        </is>
      </c>
      <c r="J4" s="21" t="inlineStr">
        <is>
          <t>Web/Collab/IssueController@show, Web/Collab/PullRequestController@show, issues/show, pulls/show</t>
        </is>
      </c>
      <c r="K4" s="22" t="inlineStr">
        <is>
          <t>Resuelto</t>
        </is>
      </c>
      <c r="L4" s="23" t="inlineStr">
        <is>
          <t>20 comentarios más recientes + «Cargar comentarios anteriores» (?antes=id); eventos limitados a la misma ventana.</t>
        </is>
      </c>
    </row>
    <row r="5" ht="35.05" customHeight="1" s="11">
      <c r="A5" s="21" t="inlineStr">
        <is>
          <t>R04</t>
        </is>
      </c>
      <c r="B5" s="21" t="inlineStr">
        <is>
          <t>Rendimiento / datos</t>
        </is>
      </c>
      <c r="C5" s="21" t="inlineStr">
        <is>
          <t>Dashboard</t>
        </is>
      </c>
      <c r="D5" s="21" t="inlineStr">
        <is>
          <t>Carga TODOS los proyectos del usuario (get() sin límite) y no muestra issues ni PRs pendientes.</t>
        </is>
      </c>
      <c r="E5" s="21" t="inlineStr">
        <is>
          <t>31 proyectos: 67 KB de HTML; 179 ms en frío.</t>
        </is>
      </c>
      <c r="F5" s="21" t="inlineStr">
        <is>
          <t>Medio-alto: crece con cada proyecto; no responde a «¿qué está pasando?».</t>
        </is>
      </c>
      <c r="G5" s="21" t="inlineStr">
        <is>
          <t>Últimos 5 proyectos + «Ver todos»; bloques «Issues asignadas a mí» (5) y «PRs que esperan mi revisión» (5); actividad: últimas 10.</t>
        </is>
      </c>
      <c r="H5" s="21" t="inlineStr">
        <is>
          <t>Alta</t>
        </is>
      </c>
      <c r="I5" s="21" t="inlineStr">
        <is>
          <t>3</t>
        </is>
      </c>
      <c r="J5" s="21" t="inlineStr">
        <is>
          <t>Web/Account/HomeController, home/dashboard.blade.php</t>
        </is>
      </c>
      <c r="K5" s="22" t="inlineStr">
        <is>
          <t>Resuelto</t>
        </is>
      </c>
      <c r="L5" s="23" t="inlineStr">
        <is>
          <t>Dashboard con KPIs agregados, 5 repos, 5 PRs, 8 eventos y 6 proyectos.</t>
        </is>
      </c>
    </row>
    <row r="6" ht="35.05" customHeight="1" s="11">
      <c r="A6" s="21" t="inlineStr">
        <is>
          <t>R05</t>
        </is>
      </c>
      <c r="B6" s="21" t="inlineStr">
        <is>
          <t>Rendimiento / datos</t>
        </is>
      </c>
      <c r="C6" s="21" t="inlineStr">
        <is>
          <t>Historial de commits</t>
        </is>
      </c>
      <c r="D6" s="21" t="inlineStr">
        <is>
          <t>Carga el grafo completo y hace COUNT + SELECT con un IN de todos los ancestros para paginar.</t>
        </is>
      </c>
      <c r="E6" s="21" t="inlineStr">
        <is>
          <t>351 commits: IN con 351 ids en 2 consultas. Con miles de commits la consulta crece sin límite.</t>
        </is>
      </c>
      <c r="F6" s="21" t="inlineStr">
        <is>
          <t>Medio: escala mal en repos con mucho historial.</t>
        </is>
      </c>
      <c r="G6" s="21" t="inlineStr">
        <is>
          <t>Paginar la lista de ids en PHP (array_slice) y consultar solo los 30 commits de la página con las columnas necesarias.</t>
        </is>
      </c>
      <c r="H6" s="21" t="inlineStr">
        <is>
          <t>Media</t>
        </is>
      </c>
      <c r="I6" s="21" t="inlineStr">
        <is>
          <t>4</t>
        </is>
      </c>
      <c r="J6" s="21" t="inlineStr">
        <is>
          <t>Web/Code/CommitController@index, API CommitController@branchHistory, VcsService::historyIds</t>
        </is>
      </c>
      <c r="K6" s="22" t="inlineStr">
        <is>
          <t>Resuelto</t>
        </is>
      </c>
      <c r="L6" s="23" t="inlineStr">
        <is>
          <t>Paginación sobre la lista de ids en PHP; solo se consultan los 30 commits de la página (web y API).</t>
        </is>
      </c>
    </row>
    <row r="7" ht="35.05" customHeight="1" s="11">
      <c r="A7" s="21" t="inlineStr">
        <is>
          <t>R06</t>
        </is>
      </c>
      <c r="B7" s="21" t="inlineStr">
        <is>
          <t>Rendimiento / datos</t>
        </is>
      </c>
      <c r="C7" s="21" t="inlineStr">
        <is>
          <t>Explorador de código</t>
        </is>
      </c>
      <c r="D7" s="21" t="inlineStr">
        <is>
          <t>Para mostrar una carpeta se cargan todas las rutas del commit; además se carga el grafo completo solo para mostrar el nº de commits.</t>
        </is>
      </c>
      <c r="E7" s="21" t="inlineStr">
        <is>
          <t>Repo con 456 archivos: 17 consultas, 102 ms.</t>
        </is>
      </c>
      <c r="F7" s="21" t="inlineStr">
        <is>
          <t>Medio: en repos con miles de archivos cada carpeta lee el árbol entero.</t>
        </is>
      </c>
      <c r="G7" s="21" t="inlineStr">
        <is>
          <t>Filtrar commit_files por prefijo de carpeta en SQL; cachear el nº de commits por head_commit_id (se invalida solo al cambiar el head).</t>
        </is>
      </c>
      <c r="H7" s="21" t="inlineStr">
        <is>
          <t>Media</t>
        </is>
      </c>
      <c r="I7" s="21" t="inlineStr">
        <is>
          <t>4</t>
        </is>
      </c>
      <c r="J7" s="21" t="inlineStr">
        <is>
          <t>Web/Code/RepositoryController@show, VcsService::tree</t>
        </is>
      </c>
      <c r="K7" s="22" t="inlineStr">
        <is>
          <t>Resuelto</t>
        </is>
      </c>
      <c r="L7" s="23" t="inlineStr">
        <is>
          <t>Carpetas filtradas en SQL (treeUnder) y nº de commits en caché por head_commit_id.</t>
        </is>
      </c>
    </row>
    <row r="8" ht="23.85" customHeight="1" s="11">
      <c r="A8" s="21" t="inlineStr">
        <is>
          <t>R07</t>
        </is>
      </c>
      <c r="B8" s="21" t="inlineStr">
        <is>
          <t>Rendimiento / datos</t>
        </is>
      </c>
      <c r="C8" s="21" t="inlineStr">
        <is>
          <t>Ramas</t>
        </is>
      </c>
      <c r="D8" s="21" t="inlineStr">
        <is>
          <t>Lista sin paginar; por cada rama se calcula commits por delante/detrás y se carga su último commit.</t>
        </is>
      </c>
      <c r="E8" s="21" t="inlineStr">
        <is>
          <t>19 ramas: 108 KB de HTML (5,7 KB por fila).</t>
        </is>
      </c>
      <c r="F8" s="21" t="inlineStr">
        <is>
          <t>Medio.</t>
        </is>
      </c>
      <c r="G8" s="21" t="inlineStr">
        <is>
          <t>Paginar (20) y mostrar lo pedido: nombre, principal, último commit y fecha. Delante/detrás solo si se cachea por head.</t>
        </is>
      </c>
      <c r="H8" s="21" t="inlineStr">
        <is>
          <t>Media</t>
        </is>
      </c>
      <c r="I8" s="21" t="inlineStr">
        <is>
          <t>3</t>
        </is>
      </c>
      <c r="J8" s="21" t="inlineStr">
        <is>
          <t>Web/Code/BranchController, branches/index.blade.php, API BranchController</t>
        </is>
      </c>
      <c r="K8" s="22" t="inlineStr">
        <is>
          <t>Resuelto</t>
        </is>
      </c>
      <c r="L8" s="23" t="inlineStr">
        <is>
          <t>Ramas paginadas (20) y ordenadas en SQL; delante/detrás solo para la página.</t>
        </is>
      </c>
    </row>
    <row r="9" ht="35.05" customHeight="1" s="11">
      <c r="A9" s="21" t="inlineStr">
        <is>
          <t>R08</t>
        </is>
      </c>
      <c r="B9" s="21" t="inlineStr">
        <is>
          <t>Rendimiento / datos</t>
        </is>
      </c>
      <c r="C9" s="21" t="inlineStr">
        <is>
          <t>Proyecto (detalle)</t>
        </is>
      </c>
      <c r="D9" s="21" t="inlineStr">
        <is>
          <t>Carga todos los repositorios (SELECT *, incluida la clave cifrada) y todos los miembros. No muestra rama principal ni último commit de cada repositorio.</t>
        </is>
      </c>
      <c r="E9" s="21" t="inlineStr">
        <is>
          <t>14 consultas; listas completas.</t>
        </is>
      </c>
      <c r="F9" s="21" t="inlineStr">
        <is>
          <t>Medio con proyectos grandes.</t>
        </is>
      </c>
      <c r="G9" s="21" t="inlineStr">
        <is>
          <t>Repositorios paginados (12) con columnas concretas y último commit mediante subconsulta; miembros: contador + 5 avatares + enlace.</t>
        </is>
      </c>
      <c r="H9" s="21" t="inlineStr">
        <is>
          <t>Media</t>
        </is>
      </c>
      <c r="I9" s="21" t="inlineStr">
        <is>
          <t>3</t>
        </is>
      </c>
      <c r="J9" s="21" t="inlineStr">
        <is>
          <t>Web/Account/ProjectController@show, projects/show.blade.php</t>
        </is>
      </c>
      <c r="K9" s="22" t="inlineStr">
        <is>
          <t>Resuelto</t>
        </is>
      </c>
      <c r="L9" s="23" t="inlineStr">
        <is>
          <t>Repositorios paginados (12) con columnas concretas y último commit; miembros: recuento + 6.</t>
        </is>
      </c>
    </row>
    <row r="10" ht="23.85" customHeight="1" s="11">
      <c r="A10" s="21" t="inlineStr">
        <is>
          <t>R09</t>
        </is>
      </c>
      <c r="B10" s="21" t="inlineStr">
        <is>
          <t>Rendimiento / datos</t>
        </is>
      </c>
      <c r="C10" s="21" t="inlineStr">
        <is>
          <t>Lista de proyectos</t>
        </is>
      </c>
      <c r="D10" s="21" t="inlineStr">
        <is>
          <t>Solo muestra el nº de repositorios; faltan issues abiertas y PRs pendientes (punto 13).</t>
        </is>
      </c>
      <c r="E10" s="21" t="inlineStr">
        <is>
          <t>Paginación correcta (18).</t>
        </is>
      </c>
      <c r="F10" s="21" t="inlineStr">
        <is>
          <t>Bajo en rendimiento, medio en UX.</t>
        </is>
      </c>
      <c r="G10" s="21" t="inlineStr">
        <is>
          <t>withCount de issues abiertas y PRs pendientes mediante relaciones hasManyThrough (Proyecto → Repositorio → Issue/PR).</t>
        </is>
      </c>
      <c r="H10" s="21" t="inlineStr">
        <is>
          <t>Media</t>
        </is>
      </c>
      <c r="I10" s="21" t="inlineStr">
        <is>
          <t>3</t>
        </is>
      </c>
      <c r="J10" s="21" t="inlineStr">
        <is>
          <t>Web/Account/ProjectController@index, Models/Project</t>
        </is>
      </c>
      <c r="K10" s="22" t="inlineStr">
        <is>
          <t>Resuelto</t>
        </is>
      </c>
      <c r="L10" s="23" t="inlineStr">
        <is>
          <t>withCount de issues abiertas y PRs pendientes (hasManyThrough).</t>
        </is>
      </c>
    </row>
    <row r="11" ht="35.05" customHeight="1" s="11">
      <c r="A11" s="21" t="inlineStr">
        <is>
          <t>R10</t>
        </is>
      </c>
      <c r="B11" s="21" t="inlineStr">
        <is>
          <t>Rendimiento / datos</t>
        </is>
      </c>
      <c r="C11" s="21" t="inlineStr">
        <is>
          <t>Lista de issues</t>
        </is>
      </c>
      <c r="D11" s="21" t="inlineStr">
        <is>
          <t>Para el filtro de etiquetas se lee la columna labels de TODAS las issues del repositorio. Los recuentos de las pestañas se repiten (3 consultas iguales).</t>
        </is>
      </c>
      <c r="E11" s="21" t="inlineStr">
        <is>
          <t>15 consultas.</t>
        </is>
      </c>
      <c r="F11" s="21" t="inlineStr">
        <is>
          <t>Medio con miles de issues.</t>
        </is>
      </c>
      <c r="G11" s="21" t="inlineStr">
        <is>
          <t>Recuentos en una sola consulta (SUM con CASE). Etiquetas: lista DISTINCT cacheada o tabla labels (prevista en la arquitectura).</t>
        </is>
      </c>
      <c r="H11" s="21" t="inlineStr">
        <is>
          <t>Media</t>
        </is>
      </c>
      <c r="I11" s="21" t="inlineStr">
        <is>
          <t>4</t>
        </is>
      </c>
      <c r="J11" s="21" t="inlineStr">
        <is>
          <t>Web/Collab/IssueController@index</t>
        </is>
      </c>
      <c r="K11" s="22" t="inlineStr">
        <is>
          <t>Resuelto</t>
        </is>
      </c>
      <c r="L11" s="23" t="inlineStr">
        <is>
          <t>Recuentos de pestañas en una sola consulta (SUM CASE); etiquetas en caché hasta que cambie una issue.</t>
        </is>
      </c>
    </row>
    <row r="12" ht="23.85" customHeight="1" s="11">
      <c r="A12" s="21" t="inlineStr">
        <is>
          <t>R11</t>
        </is>
      </c>
      <c r="B12" s="21" t="inlineStr">
        <is>
          <t>Rendimiento / datos</t>
        </is>
      </c>
      <c r="C12" s="21" t="inlineStr">
        <is>
          <t>Miembros</t>
        </is>
      </c>
      <c r="D12" s="21" t="inlineStr">
        <is>
          <t>Sin paginar (web y API).</t>
        </is>
      </c>
      <c r="E12" s="21" t="inlineStr">
        <is>
          <t>Proyecto pequeño: correcto; crece sin límite.</t>
        </is>
      </c>
      <c r="F12" s="21" t="inlineStr">
        <is>
          <t>Bajo-medio.</t>
        </is>
      </c>
      <c r="G12" s="21" t="inlineStr">
        <is>
          <t>Paginar (25) con búsqueda por nombre o email.</t>
        </is>
      </c>
      <c r="H12" s="21" t="inlineStr">
        <is>
          <t>Media</t>
        </is>
      </c>
      <c r="I12" s="21" t="inlineStr">
        <is>
          <t>3</t>
        </is>
      </c>
      <c r="J12" s="21" t="inlineStr">
        <is>
          <t>Web/Account/MemberController, API MemberController</t>
        </is>
      </c>
      <c r="K12" s="22" t="inlineStr">
        <is>
          <t>Resuelto</t>
        </is>
      </c>
      <c r="L12" s="23" t="inlineStr">
        <is>
          <t>Miembros paginados (25) con búsqueda por nombre o email; API paginada (50).</t>
        </is>
      </c>
    </row>
    <row r="13" ht="35.05" customHeight="1" s="11">
      <c r="A13" s="21" t="inlineStr">
        <is>
          <t>R12</t>
        </is>
      </c>
      <c r="B13" s="21" t="inlineStr">
        <is>
          <t>API</t>
        </is>
      </c>
      <c r="C13" s="21" t="inlineStr">
        <is>
          <t>Varias</t>
        </is>
      </c>
      <c r="D13" s="21" t="inlineStr">
        <is>
          <t>Endpoints sin paginar: repositorios de un proyecto, ramas, comentarios de issue/PR y miembros. El detalle de issue/PR incluye todos sus comentarios.</t>
        </is>
      </c>
      <c r="E13" s="21" t="inlineStr">
        <is>
          <t>Revisión de los controladores de la API.</t>
        </is>
      </c>
      <c r="F13" s="21" t="inlineStr">
        <is>
          <t>Medio: respuestas que crecen sin límite (afecta a Android).</t>
        </is>
      </c>
      <c r="G13" s="21" t="inlineStr">
        <is>
          <t>paginate/simplePaginate y comentarios en su propio endpoint paginado. Ajustar la app Android (ya admite paginador).</t>
        </is>
      </c>
      <c r="H13" s="21" t="inlineStr">
        <is>
          <t>Media</t>
        </is>
      </c>
      <c r="I13" s="21" t="inlineStr">
        <is>
          <t>4</t>
        </is>
      </c>
      <c r="J13" s="21" t="inlineStr">
        <is>
          <t>Http/Controllers/{RepositoryController,BranchController,IssueController,PullRequestController,MemberController}</t>
        </is>
      </c>
      <c r="K13" s="22" t="inlineStr">
        <is>
          <t>Resuelto</t>
        </is>
      </c>
      <c r="L13" s="23" t="inlineStr">
        <is>
          <t>API paginada: repositorios, ramas, miembros y comentarios; detalle con 20 comentarios + comments_count.</t>
        </is>
      </c>
    </row>
    <row r="14" ht="23.85" customHeight="1" s="11">
      <c r="A14" s="21" t="inlineStr">
        <is>
          <t>R13</t>
        </is>
      </c>
      <c r="B14" s="21" t="inlineStr">
        <is>
          <t>Rendimiento / datos</t>
        </is>
      </c>
      <c r="C14" s="21" t="inlineStr">
        <is>
          <t>Todas (cabecera)</t>
        </is>
      </c>
      <c r="D14" s="21" t="inlineStr">
        <is>
          <t>El contador de notificaciones no leídas se calcula en cada página (read_at sin índice) y se repite en /notifications.</t>
        </is>
      </c>
      <c r="E14" s="21" t="inlineStr">
        <is>
          <t>3-5 ms por página con 1.600 notificaciones.</t>
        </is>
      </c>
      <c r="F14" s="21" t="inlineStr">
        <is>
          <t>Bajo ahora; crece con el uso.</t>
        </is>
      </c>
      <c r="G14" s="21" t="inlineStr">
        <is>
          <t>Índice compuesto (notifiable_type, notifiable_id, read_at) y reutilizar el valor dentro de la misma petición.</t>
        </is>
      </c>
      <c r="H14" s="21" t="inlineStr">
        <is>
          <t>Baja</t>
        </is>
      </c>
      <c r="I14" s="21" t="inlineStr">
        <is>
          <t>4</t>
        </is>
      </c>
      <c r="J14" s="21" t="inlineStr">
        <is>
          <t>layouts/app.blade.php, nueva migración</t>
        </is>
      </c>
      <c r="K14" s="22" t="inlineStr">
        <is>
          <t>Resuelto</t>
        </is>
      </c>
      <c r="L14" s="23" t="inlineStr">
        <is>
          <t>Índice (notifiable_type, notifiable_id, read_at) y recuento una vez por petición (once).</t>
        </is>
      </c>
    </row>
    <row r="15" ht="23.85" customHeight="1" s="11">
      <c r="A15" s="21" t="inlineStr">
        <is>
          <t>R14</t>
        </is>
      </c>
      <c r="B15" s="21" t="inlineStr">
        <is>
          <t>Rendimiento / datos</t>
        </is>
      </c>
      <c r="C15" s="21" t="inlineStr">
        <is>
          <t>Explorar</t>
        </is>
      </c>
      <c r="D15" s="21" t="inlineStr">
        <is>
          <t>El límite de peticiones usa la caché en base de datos: 6 consultas extra por petición.</t>
        </is>
      </c>
      <c r="E15" s="21" t="inlineStr">
        <is>
          <t>15 consultas en una página sencilla.</t>
        </is>
      </c>
      <c r="F15" s="21" t="inlineStr">
        <is>
          <t>Bajo.</t>
        </is>
      </c>
      <c r="G15" s="21" t="inlineStr">
        <is>
          <t>Aplicar el límite solo a invitados (los usuarios con sesión ya están identificados).</t>
        </is>
      </c>
      <c r="H15" s="21" t="inlineStr">
        <is>
          <t>Baja</t>
        </is>
      </c>
      <c r="I15" s="21" t="inlineStr">
        <is>
          <t>4</t>
        </is>
      </c>
      <c r="J15" s="21" t="inlineStr">
        <is>
          <t>routes/web/account.php</t>
        </is>
      </c>
      <c r="K15" s="22" t="inlineStr">
        <is>
          <t>Resuelto</t>
        </is>
      </c>
      <c r="L15" s="23" t="inlineStr">
        <is>
          <t>Limitador «explore» solo para visitantes.</t>
        </is>
      </c>
    </row>
    <row r="16" ht="23.85" customHeight="1" s="11">
      <c r="A16" s="21" t="inlineStr">
        <is>
          <t>R15</t>
        </is>
      </c>
      <c r="B16" s="21" t="inlineStr">
        <is>
          <t>Rendimiento / datos</t>
        </is>
      </c>
      <c r="C16" s="21" t="inlineStr">
        <is>
          <t>Varias</t>
        </is>
      </c>
      <c r="D16" s="21" t="inlineStr">
        <is>
          <t>SELECT * en listados (repositorios con clave cifrada, issues y PRs completos en listas).</t>
        </is>
      </c>
      <c r="E16" s="21" t="inlineStr">
        <is>
          <t>Log SQL de la auditoría.</t>
        </is>
      </c>
      <c r="F16" s="21" t="inlineStr">
        <is>
          <t>Bajo.</t>
        </is>
      </c>
      <c r="G16" s="21" t="inlineStr">
        <is>
          <t>select() de las columnas que muestra cada lista.</t>
        </is>
      </c>
      <c r="H16" s="21" t="inlineStr">
        <is>
          <t>Baja</t>
        </is>
      </c>
      <c r="I16" s="21" t="inlineStr">
        <is>
          <t>4</t>
        </is>
      </c>
      <c r="J16" s="21" t="inlineStr">
        <is>
          <t>Controladores web de listados</t>
        </is>
      </c>
      <c r="K16" s="22" t="inlineStr">
        <is>
          <t>Resuelto</t>
        </is>
      </c>
      <c r="L16" s="23" t="inlineStr">
        <is>
          <t>Columnas concretas en listados (Repository::forListing, issues y PRs).</t>
        </is>
      </c>
    </row>
    <row r="17" ht="35.05" customHeight="1" s="11">
      <c r="A17" s="21" t="inlineStr">
        <is>
          <t>U01</t>
        </is>
      </c>
      <c r="B17" s="21" t="inlineStr">
        <is>
          <t>UX / errores</t>
        </is>
      </c>
      <c r="C17" s="21" t="inlineStr">
        <is>
          <t>Errores 403/404/419/500</t>
        </is>
      </c>
      <c r="D17" s="21" t="inlineStr">
        <is>
          <t>Se muestran las páginas de error de Laravel en inglés («Forbidden», «Not Found», «Page Expired», «Server Error»).</t>
        </is>
      </c>
      <c r="E17" s="21" t="inlineStr">
        <is>
          <t>Comprobado: /repositories/9999 → «Not Found»; sesión caducada → «Page Expired».</t>
        </is>
      </c>
      <c r="F17" s="21" t="inlineStr">
        <is>
          <t>Alto: confunde al usuario no técnico.</t>
        </is>
      </c>
      <c r="G17" s="21" t="inlineStr">
        <is>
          <t>Vistas errors/403, 404, 419, 429, 500 y 503 en español, con el layout y un botón «Volver» o «Ir al inicio». Los detalles siguen en el log.</t>
        </is>
      </c>
      <c r="H17" s="21" t="inlineStr">
        <is>
          <t>Alta</t>
        </is>
      </c>
      <c r="I17" s="21" t="inlineStr">
        <is>
          <t>2</t>
        </is>
      </c>
      <c r="J17" s="21" t="inlineStr">
        <is>
          <t>resources/views/errors/* (nuevas)</t>
        </is>
      </c>
      <c r="K17" s="22" t="inlineStr">
        <is>
          <t>Resuelto</t>
        </is>
      </c>
      <c r="L17" s="23" t="inlineStr">
        <is>
          <t>Vistas errors/401, 403, 404, 419, 429, 500 y 503 en español.</t>
        </is>
      </c>
    </row>
    <row r="18" ht="57.45" customHeight="1" s="11">
      <c r="A18" s="21" t="inlineStr">
        <is>
          <t>U02</t>
        </is>
      </c>
      <c r="B18" s="21" t="inlineStr">
        <is>
          <t>UX / navegación</t>
        </is>
      </c>
      <c r="C18" s="21" t="inlineStr">
        <is>
          <t>Global y proyecto</t>
        </is>
      </c>
      <c r="D18" s="21" t="inlineStr">
        <is>
          <t>La navegación no es la pedida: falta Dashboard explícito, Actividad global y Configuración de usuario. Dentro de un proyecto no hay pestañas (Resumen, Código, Issues, PRs, Actividad, Configuración): issues y PRs solo existen por repositorio.</t>
        </is>
      </c>
      <c r="E18" s="21" t="inlineStr">
        <is>
          <t>Revisión de layouts/app y de las rutas.</t>
        </is>
      </c>
      <c r="F18" s="21" t="inlineStr">
        <is>
          <t>Alto: el usuario no sabe dónde está ni encuentra las issues del proyecto.</t>
        </is>
      </c>
      <c r="G18" s="21" t="inlineStr">
        <is>
          <t>Barra principal: Dashboard, Proyectos, Actividad, Notificaciones y menú de usuario (Perfil, Configuración). Pestañas de proyecto; Issues y PRs del proyecto agregan las de sus repositorios (lista paginada con filtro por repositorio).</t>
        </is>
      </c>
      <c r="H18" s="21" t="inlineStr">
        <is>
          <t>Alta</t>
        </is>
      </c>
      <c r="I18" s="21" t="inlineStr">
        <is>
          <t>2-3</t>
        </is>
      </c>
      <c r="J18" s="21" t="inlineStr">
        <is>
          <t>layouts/app.blade.php, projects/*, routes/web/*.php</t>
        </is>
      </c>
      <c r="K18" s="22" t="inlineStr">
        <is>
          <t>Resuelto</t>
        </is>
      </c>
      <c r="L18" s="23" t="inlineStr">
        <is>
          <t>Barra: Inicio, Proyectos, Explorar, Actividad, Notificaciones y menú de usuario; pestañas de proyecto con issues/PRs agregados.</t>
        </is>
      </c>
    </row>
    <row r="19" ht="23.85" customHeight="1" s="11">
      <c r="A19" s="21" t="inlineStr">
        <is>
          <t>U03</t>
        </is>
      </c>
      <c r="B19" s="21" t="inlineStr">
        <is>
          <t>UX / usuarios no técnicos</t>
        </is>
      </c>
      <c r="C19" s="21" t="inlineStr">
        <is>
          <t>Ramas, commits, PRs, formularios</t>
        </is>
      </c>
      <c r="D19" s="21" t="inlineStr">
        <is>
          <t>No hay explicaciones de los conceptos (rama, commit, pull request, fusionar, revisión).</t>
        </is>
      </c>
      <c r="E19" s="21" t="inlineStr">
        <is>
          <t>No aparece ningún texto de ayuda en las vistas.</t>
        </is>
      </c>
      <c r="F19" s="21" t="inlineStr">
        <is>
          <t>Alto para el público objetivo.</t>
        </is>
      </c>
      <c r="G19" s="21" t="inlineStr">
        <is>
          <t>Componente x-help: una frase corta junto al título («Una rama es una versión independiente del código…»), accesible con teclado.</t>
        </is>
      </c>
      <c r="H19" s="21" t="inlineStr">
        <is>
          <t>Alta</t>
        </is>
      </c>
      <c r="I19" s="21" t="inlineStr">
        <is>
          <t>2</t>
        </is>
      </c>
      <c r="J19" s="21" t="inlineStr">
        <is>
          <t>components/help (nuevo) + vistas de ramas, commits, PRs y subida</t>
        </is>
      </c>
      <c r="K19" s="22" t="inlineStr">
        <is>
          <t>Resuelto</t>
        </is>
      </c>
      <c r="L19" s="23" t="inlineStr">
        <is>
          <t>Componente x-help en repositorio (código, issues, PRs, commits, ramas), subida y miembros.</t>
        </is>
      </c>
    </row>
    <row r="20" ht="35.05" customHeight="1" s="11">
      <c r="A20" s="21" t="inlineStr">
        <is>
          <t>U04</t>
        </is>
      </c>
      <c r="B20" s="21" t="inlineStr">
        <is>
          <t>UX / feedback</t>
        </is>
      </c>
      <c r="C20" s="21" t="inlineStr">
        <is>
          <t>Formularios</t>
        </is>
      </c>
      <c r="D20" s="21" t="inlineStr">
        <is>
          <t>Al enviar no hay estado de carga y los botones no se desactivan: se puede enviar dos veces (fusionar, crear, comentar).</t>
        </is>
      </c>
      <c r="E20" s="21" t="inlineStr">
        <is>
          <t>Revisión de las vistas: solo la subida tiene barra de progreso.</t>
        </is>
      </c>
      <c r="F20" s="21" t="inlineStr">
        <is>
          <t>Medio: dobles envíos y sensación de lentitud.</t>
        </is>
      </c>
      <c r="G20" s="21" t="inlineStr">
        <is>
          <t>Script de unas 30 líneas: al enviar, desactiva el botón y muestra «Guardando…». Sin librerías.</t>
        </is>
      </c>
      <c r="H20" s="21" t="inlineStr">
        <is>
          <t>Media</t>
        </is>
      </c>
      <c r="I20" s="21" t="inlineStr">
        <is>
          <t>2</t>
        </is>
      </c>
      <c r="J20" s="21" t="inlineStr">
        <is>
          <t>resources/js/app.js, components/button</t>
        </is>
      </c>
      <c r="K20" s="22" t="inlineStr">
        <is>
          <t>Resuelto</t>
        </is>
      </c>
      <c r="L20" s="23" t="inlineStr">
        <is>
          <t>ui.js desactiva el botón al enviar y muestra «Procesando…».</t>
        </is>
      </c>
    </row>
    <row r="21" ht="23.85" customHeight="1" s="11">
      <c r="A21" s="21" t="inlineStr">
        <is>
          <t>U05</t>
        </is>
      </c>
      <c r="B21" s="21" t="inlineStr">
        <is>
          <t>UX / estados vacíos</t>
        </is>
      </c>
      <c r="C21" s="21" t="inlineStr">
        <is>
          <t>Varias</t>
        </is>
      </c>
      <c r="D21" s="21" t="inlineStr">
        <is>
          <t>Muchos estados vacíos solo informan («No hay commits», «Este repositorio está vacío») sin indicar el siguiente paso.</t>
        </is>
      </c>
      <c r="E21" s="21" t="inlineStr">
        <is>
          <t>22 textos de x-empty revisados.</t>
        </is>
      </c>
      <c r="F21" s="21" t="inlineStr">
        <is>
          <t>Medio.</t>
        </is>
      </c>
      <c r="G21" s="21" t="inlineStr">
        <is>
          <t>x-empty con descripción y botón opcional (Crear proyecto, Subir archivos, Nueva issue, Crear rama…).</t>
        </is>
      </c>
      <c r="H21" s="21" t="inlineStr">
        <is>
          <t>Media</t>
        </is>
      </c>
      <c r="I21" s="21" t="inlineStr">
        <is>
          <t>2-3</t>
        </is>
      </c>
      <c r="J21" s="21" t="inlineStr">
        <is>
          <t>components/empty + vistas</t>
        </is>
      </c>
      <c r="K21" s="22" t="inlineStr">
        <is>
          <t>Resuelto</t>
        </is>
      </c>
      <c r="L21" s="23" t="inlineStr">
        <is>
          <t>x-empty con icono y acción opcional (crear repositorio, subir archivos…).</t>
        </is>
      </c>
    </row>
    <row r="22" ht="35.05" customHeight="1" s="11">
      <c r="A22" s="21" t="inlineStr">
        <is>
          <t>U06</t>
        </is>
      </c>
      <c r="B22" s="21" t="inlineStr">
        <is>
          <t>UX / acciones destructivas</t>
        </is>
      </c>
      <c r="C22" s="21" t="inlineStr">
        <is>
          <t>Eliminar proyecto, fusionar, cerrar PR, eliminar archivos y ramas</t>
        </is>
      </c>
      <c r="D22" s="21" t="inlineStr">
        <is>
          <t>Se usa confirm() del navegador (8 usos): no explica bien la consecuencia y no sigue el estilo de la aplicación.</t>
        </is>
      </c>
      <c r="E22" s="21" t="inlineStr">
        <is>
          <t>8 llamadas a confirm().</t>
        </is>
      </c>
      <c r="F22" s="21" t="inlineStr">
        <is>
          <t>Medio.</t>
        </is>
      </c>
      <c r="G22" s="21" t="inlineStr">
        <is>
          <t>Componente x-confirm con el elemento nativo dialog (sin librerías): título, consecuencia y botón de peligro. Mantener escribir el nombre para borrar repositorios.</t>
        </is>
      </c>
      <c r="H22" s="21" t="inlineStr">
        <is>
          <t>Media</t>
        </is>
      </c>
      <c r="I22" s="21" t="inlineStr">
        <is>
          <t>2</t>
        </is>
      </c>
      <c r="J22" s="21" t="inlineStr">
        <is>
          <t>components/confirm (nuevo) + vistas con confirm()</t>
        </is>
      </c>
      <c r="K22" s="22" t="inlineStr">
        <is>
          <t>Resuelto</t>
        </is>
      </c>
      <c r="L22" s="23" t="inlineStr">
        <is>
          <t>Diálogo &lt;dialog&gt; propio con data-confirm en las 8 acciones destructivas.</t>
        </is>
      </c>
    </row>
    <row r="23" ht="35.05" customHeight="1" s="11">
      <c r="A23" s="21" t="inlineStr">
        <is>
          <t>U07</t>
        </is>
      </c>
      <c r="B23" s="21" t="inlineStr">
        <is>
          <t>Design system</t>
        </is>
      </c>
      <c r="C23" s="21" t="inlineStr">
        <is>
          <t>Componentes</t>
        </is>
      </c>
      <c r="D23" s="21" t="inlineStr">
        <is>
          <t>Componentes duplicados por módulo (2 paginaciones, 2 avatares, markdown en línea y como componente). Faltan pestañas, modal, toast, alerta, tabla, skeleton y ayuda.</t>
        </is>
      </c>
      <c r="E23" s="21" t="inlineStr">
        <is>
          <t>32 componentes; ver la hoja Componentes.</t>
        </is>
      </c>
      <c r="F23" s="21" t="inlineStr">
        <is>
          <t>Medio: mantenimiento y coherencia visual.</t>
        </is>
      </c>
      <c r="G23" s="21" t="inlineStr">
        <is>
          <t>Unificar en x-pagination, x-avatar, x-markdown, x-tabs, x-modal, x-alert, x-table y x-help; colores y espaciados como tokens en @theme.</t>
        </is>
      </c>
      <c r="H23" s="21" t="inlineStr">
        <is>
          <t>Media</t>
        </is>
      </c>
      <c r="I23" s="21" t="inlineStr">
        <is>
          <t>2</t>
        </is>
      </c>
      <c r="J23" s="21" t="inlineStr">
        <is>
          <t>resources/views/components/*, resources/css/app.css</t>
        </is>
      </c>
      <c r="K23" s="24" t="inlineStr">
        <is>
          <t>Parcial</t>
        </is>
      </c>
      <c r="L23" s="23" t="inlineStr">
        <is>
          <t>Unificados x-pagination, x-avatar, x-markdown y diálogo; pestañas aún en dos componentes.</t>
        </is>
      </c>
    </row>
    <row r="24" ht="23.85" customHeight="1" s="11">
      <c r="A24" s="21" t="inlineStr">
        <is>
          <t>U08</t>
        </is>
      </c>
      <c r="B24" s="21" t="inlineStr">
        <is>
          <t>UX / feedback</t>
        </is>
      </c>
      <c r="C24" s="21" t="inlineStr">
        <is>
          <t>Mensajes flash</t>
        </is>
      </c>
      <c r="D24" s="21" t="inlineStr">
        <is>
          <t>Los mensajes aparecen arriba sin botón de cerrar ni role="status".</t>
        </is>
      </c>
      <c r="E24" s="21" t="inlineStr">
        <is>
          <t>layouts/app y components/flash.</t>
        </is>
      </c>
      <c r="F24" s="21" t="inlineStr">
        <is>
          <t>Bajo-medio.</t>
        </is>
      </c>
      <c r="G24" s="21" t="inlineStr">
        <is>
          <t>Alerta/toast con cierre, role="status" para éxito y role="alert" para error.</t>
        </is>
      </c>
      <c r="H24" s="21" t="inlineStr">
        <is>
          <t>Media</t>
        </is>
      </c>
      <c r="I24" s="21" t="inlineStr">
        <is>
          <t>2</t>
        </is>
      </c>
      <c r="J24" s="21" t="inlineStr">
        <is>
          <t>components/flash</t>
        </is>
      </c>
      <c r="K24" s="22" t="inlineStr">
        <is>
          <t>Resuelto</t>
        </is>
      </c>
      <c r="L24" s="23" t="inlineStr">
        <is>
          <t>Mensajes con botón de cerrar, role=status / role=alert.</t>
        </is>
      </c>
    </row>
    <row r="25" ht="35.05" customHeight="1" s="11">
      <c r="A25" s="21" t="inlineStr">
        <is>
          <t>U09</t>
        </is>
      </c>
      <c r="B25" s="21" t="inlineStr">
        <is>
          <t>UX / formularios</t>
        </is>
      </c>
      <c r="C25" s="21" t="inlineStr">
        <is>
          <t>Detalle de PR</t>
        </is>
      </c>
      <c r="D25" s="21" t="inlineStr">
        <is>
          <t>El formulario de revisión y el de comentario usan el mismo campo «body»: tras un error, el texto aparece en los dos. No se puede editar un PR desde la web.</t>
        </is>
      </c>
      <c r="E25" s="21" t="inlineStr">
        <is>
          <t>Indicado por el agente que construyó el módulo.</t>
        </is>
      </c>
      <c r="F25" s="21" t="inlineStr">
        <is>
          <t>Bajo-medio.</t>
        </is>
      </c>
      <c r="G25" s="21" t="inlineStr">
        <is>
          <t>Nombres de campo distintos; formulario de edición de título, descripción y revisores.</t>
        </is>
      </c>
      <c r="H25" s="21" t="inlineStr">
        <is>
          <t>Media</t>
        </is>
      </c>
      <c r="I25" s="21" t="inlineStr">
        <is>
          <t>3</t>
        </is>
      </c>
      <c r="J25" s="21" t="inlineStr">
        <is>
          <t>pulls/show.blade.php, Web/Collab/PullRequestController</t>
        </is>
      </c>
      <c r="K25" s="22" t="inlineStr">
        <is>
          <t>Resuelto</t>
        </is>
      </c>
      <c r="L25" s="23" t="inlineStr">
        <is>
          <t>Campo review_body separado y formulario para editar título, descripción y revisores.</t>
        </is>
      </c>
    </row>
    <row r="26" ht="23.85" customHeight="1" s="11">
      <c r="A26" s="21" t="inlineStr">
        <is>
          <t>U10</t>
        </is>
      </c>
      <c r="B26" s="21" t="inlineStr">
        <is>
          <t>UX / código</t>
        </is>
      </c>
      <c r="C26" s="21" t="inlineStr">
        <is>
          <t>Commits</t>
        </is>
      </c>
      <c r="D26" s="21" t="inlineStr">
        <is>
          <t>No se puede ver el código tal como estaba en un commit antiguo (solo por ramas).</t>
        </is>
      </c>
      <c r="E26" s="21" t="inlineStr">
        <is>
          <t>Rutas de código solo admiten ?branch.</t>
        </is>
      </c>
      <c r="F26" s="21" t="inlineStr">
        <is>
          <t>Bajo.</t>
        </is>
      </c>
      <c r="G26" s="21" t="inlineStr">
        <is>
          <t>Aceptar ?commit=sha en el explorador (solo lectura).</t>
        </is>
      </c>
      <c r="H26" s="21" t="inlineStr">
        <is>
          <t>Baja</t>
        </is>
      </c>
      <c r="I26" s="21" t="inlineStr">
        <is>
          <t>3</t>
        </is>
      </c>
      <c r="J26" s="21" t="inlineStr">
        <is>
          <t>Web/Code/RepositoryController</t>
        </is>
      </c>
      <c r="K26" s="22" t="inlineStr">
        <is>
          <t>Resuelto</t>
        </is>
      </c>
      <c r="L26" s="23" t="inlineStr">
        <is>
          <t>Explorador con ?commit=sha en modo solo lectura y botón «Ver el código en este commit».</t>
        </is>
      </c>
    </row>
    <row r="27" ht="35.05" customHeight="1" s="11">
      <c r="A27" s="21" t="inlineStr">
        <is>
          <t>A01</t>
        </is>
      </c>
      <c r="B27" s="21" t="inlineStr">
        <is>
          <t>Accesibilidad</t>
        </is>
      </c>
      <c r="C27" s="21" t="inlineStr">
        <is>
          <t>Varias</t>
        </is>
      </c>
      <c r="D27" s="21" t="inlineStr">
        <is>
          <t>Contraste insuficiente: text-slate-400 (≈2,6:1 sobre blanco; AA exige 4,5:1) en fechas, metadatos, números de línea y pie.</t>
        </is>
      </c>
      <c r="E27" s="21" t="inlineStr">
        <is>
          <t>43 usos en 22 vistas.</t>
        </is>
      </c>
      <c r="F27" s="21" t="inlineStr">
        <is>
          <t>Medio.</t>
        </is>
      </c>
      <c r="G27" s="21" t="inlineStr">
        <is>
          <t>Usar slate-500 o slate-600 para texto informativo; slate-400 solo en elementos decorativos.</t>
        </is>
      </c>
      <c r="H27" s="21" t="inlineStr">
        <is>
          <t>Media</t>
        </is>
      </c>
      <c r="I27" s="21" t="inlineStr">
        <is>
          <t>2</t>
        </is>
      </c>
      <c r="J27" s="21" t="inlineStr">
        <is>
          <t>22 vistas</t>
        </is>
      </c>
      <c r="K27" s="22" t="inlineStr">
        <is>
          <t>Resuelto</t>
        </is>
      </c>
      <c r="L27" s="23" t="inlineStr">
        <is>
          <t>Textos informativos en zinc-500 (claro) / zinc-400 (oscuro).</t>
        </is>
      </c>
    </row>
    <row r="28" ht="46.25" customHeight="1" s="11">
      <c r="A28" s="21" t="inlineStr">
        <is>
          <t>A02</t>
        </is>
      </c>
      <c r="B28" s="21" t="inlineStr">
        <is>
          <t>Accesibilidad</t>
        </is>
      </c>
      <c r="C28" s="21" t="inlineStr">
        <is>
          <t>Cabecera</t>
        </is>
      </c>
      <c r="D28" s="21" t="inlineStr">
        <is>
          <t>Falta «Saltar al contenido». La navegación no tiene aria-label. La campana de notificaciones solo tiene title (no anuncia cuántas hay sin leer). El menú de usuario no indica si está abierto.</t>
        </is>
      </c>
      <c r="E28" s="21" t="inlineStr">
        <is>
          <t>Revisión de layouts/app.</t>
        </is>
      </c>
      <c r="F28" s="21" t="inlineStr">
        <is>
          <t>Medio.</t>
        </is>
      </c>
      <c r="G28" s="21" t="inlineStr">
        <is>
          <t>Enlace para saltar al contenido, aria-label en la navegación, «Notificaciones (N sin leer)» como texto accesible y aria-expanded en el menú.</t>
        </is>
      </c>
      <c r="H28" s="21" t="inlineStr">
        <is>
          <t>Media</t>
        </is>
      </c>
      <c r="I28" s="21" t="inlineStr">
        <is>
          <t>2</t>
        </is>
      </c>
      <c r="J28" s="21" t="inlineStr">
        <is>
          <t>layouts/app.blade.php</t>
        </is>
      </c>
      <c r="K28" s="22" t="inlineStr">
        <is>
          <t>Resuelto</t>
        </is>
      </c>
      <c r="L28" s="23" t="inlineStr">
        <is>
          <t>«Saltar al contenido», aria-label en navegación, campana con nº accesible.</t>
        </is>
      </c>
    </row>
    <row r="29" ht="23.85" customHeight="1" s="11">
      <c r="A29" s="21" t="inlineStr">
        <is>
          <t>A03</t>
        </is>
      </c>
      <c r="B29" s="21" t="inlineStr">
        <is>
          <t>Accesibilidad</t>
        </is>
      </c>
      <c r="C29" s="21" t="inlineStr">
        <is>
          <t>Varias</t>
        </is>
      </c>
      <c r="D29" s="21" t="inlineStr">
        <is>
          <t>Botones que solo tienen icono (✕ al quitar archivos, iconos sueltos) sin aria-label; algunos filtros sin etiqueta visible.</t>
        </is>
      </c>
      <c r="E29" s="21" t="inlineStr">
        <is>
          <t>Revisión de vistas y de upload.js.</t>
        </is>
      </c>
      <c r="F29" s="21" t="inlineStr">
        <is>
          <t>Bajo-medio.</t>
        </is>
      </c>
      <c r="G29" s="21" t="inlineStr">
        <is>
          <t>aria-label en todos los botones de icono y etiqueta (visible o sr-only) en todos los campos.</t>
        </is>
      </c>
      <c r="H29" s="21" t="inlineStr">
        <is>
          <t>Baja</t>
        </is>
      </c>
      <c r="I29" s="21" t="inlineStr">
        <is>
          <t>2-3</t>
        </is>
      </c>
      <c r="J29" s="21" t="inlineStr">
        <is>
          <t>Vistas de listas, resources/js/upload.js</t>
        </is>
      </c>
      <c r="K29" s="22" t="inlineStr">
        <is>
          <t>Resuelto</t>
        </is>
      </c>
      <c r="L29" s="23" t="inlineStr">
        <is>
          <t>aria-label en botones de icono (también en upload.js).</t>
        </is>
      </c>
    </row>
    <row r="30" ht="35.05" customHeight="1" s="11">
      <c r="A30" s="21" t="inlineStr">
        <is>
          <t>A04</t>
        </is>
      </c>
      <c r="B30" s="21" t="inlineStr">
        <is>
          <t>Accesibilidad</t>
        </is>
      </c>
      <c r="C30" s="21" t="inlineStr">
        <is>
          <t>Varias</t>
        </is>
      </c>
      <c r="D30" s="21" t="inlineStr">
        <is>
          <t>Los enlaces y pestañas no tienen un foco visible propio; en la cabecera oscura el contorno del navegador apenas se ve.</t>
        </is>
      </c>
      <c r="E30" s="21" t="inlineStr">
        <is>
          <t>Solo 26 focus:ring/focus-visible, casi todos en botones.</t>
        </is>
      </c>
      <c r="F30" s="21" t="inlineStr">
        <is>
          <t>Bajo-medio.</t>
        </is>
      </c>
      <c r="G30" s="21" t="inlineStr">
        <is>
          <t>focus-visible:ring en enlaces de la cabecera, pestañas y filas clicables.</t>
        </is>
      </c>
      <c r="H30" s="21" t="inlineStr">
        <is>
          <t>Baja</t>
        </is>
      </c>
      <c r="I30" s="21" t="inlineStr">
        <is>
          <t>2</t>
        </is>
      </c>
      <c r="J30" s="21" t="inlineStr">
        <is>
          <t>layouts/app, components</t>
        </is>
      </c>
      <c r="K30" s="22" t="inlineStr">
        <is>
          <t>Resuelto</t>
        </is>
      </c>
      <c r="L30" s="23" t="inlineStr">
        <is>
          <t>Foco visible global en enlaces, pestañas y desplegables.</t>
        </is>
      </c>
    </row>
    <row r="31" ht="46.25" customHeight="1" s="11">
      <c r="A31" s="21" t="inlineStr">
        <is>
          <t>F01</t>
        </is>
      </c>
      <c r="B31" s="21" t="inlineStr">
        <is>
          <t>Frontend</t>
        </is>
      </c>
      <c r="C31" s="21" t="inlineStr">
        <is>
          <t>General</t>
        </is>
      </c>
      <c r="D31" s="21" t="inlineStr">
        <is>
          <t>Estado actual correcto: Blade renderizado en el servidor, Tailwind 4 (CSS de 44 KB, unos 9 KB comprimido) y 5 KB de JavaScript sin frameworks. La web no hace peticiones a la API, así que no hay peticiones duplicadas.</t>
        </is>
      </c>
      <c r="E31" s="21" t="inlineStr">
        <is>
          <t>Revisión de package.json y public/build.</t>
        </is>
      </c>
      <c r="F31" s="21" t="inlineStr">
        <is>
          <t>Positivo.</t>
        </is>
      </c>
      <c r="G31" s="21" t="inlineStr">
        <is>
          <t>Mantenerlo sin Alpine, Vue ni React. Para cargar secciones bajo demanda (diff, comentarios) usar fetch de fragmentos HTML de Blade con skeleton (0 dependencias).</t>
        </is>
      </c>
      <c r="H31" s="21" t="inlineStr">
        <is>
          <t>Baja</t>
        </is>
      </c>
      <c r="I31" s="21" t="inlineStr">
        <is>
          <t>2-4</t>
        </is>
      </c>
      <c r="J31" s="21" t="inlineStr">
        <is>
          <t>resources/js/*</t>
        </is>
      </c>
      <c r="K31" s="22" t="inlineStr">
        <is>
          <t>Resuelto</t>
        </is>
      </c>
      <c r="L31" s="23" t="inlineStr">
        <is>
          <t>Se mantiene sin frameworks; diff y comentarios bajo demanda con fetch de fragmentos Blade.</t>
        </is>
      </c>
    </row>
  </sheetData>
  <conditionalFormatting sqref="H2:H31">
    <cfRule type="cellIs" rank="0" priority="2" equalAverage="0" operator="equal" aboveAverage="0" dxfId="6" text="" percent="0" bottom="0">
      <formula>"Alta"</formula>
    </cfRule>
    <cfRule type="cellIs" rank="0" priority="3" equalAverage="0" operator="equal" aboveAverage="0" dxfId="7" text="" percent="0" bottom="0">
      <formula>"Media"</formula>
    </cfRule>
    <cfRule type="cellIs" rank="0" priority="4" equalAverage="0" operator="equal" aboveAverage="0" dxfId="8" text="" percent="0" bottom="0">
      <formula>"Baja"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0" min="1" max="1"/>
    <col width="32" customWidth="1" style="10" min="2" max="2"/>
    <col width="12" customWidth="1" style="10" min="3" max="3"/>
    <col width="11" customWidth="1" style="10" min="4" max="4"/>
    <col width="10" customWidth="1" style="10" min="5" max="5"/>
    <col width="55" customWidth="1" style="10" min="6" max="6"/>
    <col width="48" customWidth="1" style="10" min="7" max="7"/>
    <col width="24" customWidth="1" style="10" min="8" max="8"/>
  </cols>
  <sheetData>
    <row r="1" ht="23.85" customHeight="1" s="11">
      <c r="A1" s="19" t="inlineStr">
        <is>
          <t>Pantalla</t>
        </is>
      </c>
      <c r="B1" s="19" t="inlineStr">
        <is>
          <t>Ruta</t>
        </is>
      </c>
      <c r="C1" s="19" t="inlineStr">
        <is>
          <t>Servidor (ms)</t>
        </is>
      </c>
      <c r="D1" s="19" t="inlineStr">
        <is>
          <t>Consultas SQL</t>
        </is>
      </c>
      <c r="E1" s="19" t="inlineStr">
        <is>
          <t>HTML</t>
        </is>
      </c>
      <c r="F1" s="19" t="inlineStr">
        <is>
          <t>Qué carga</t>
        </is>
      </c>
      <c r="G1" s="19" t="inlineStr">
        <is>
          <t>Consultas a revisar</t>
        </is>
      </c>
      <c r="H1" s="19" t="inlineStr">
        <is>
          <t>Colecciones sin límite</t>
        </is>
      </c>
    </row>
    <row r="2" ht="23.85" customHeight="1" s="11">
      <c r="A2" s="21" t="inlineStr">
        <is>
          <t>Dashboard</t>
        </is>
      </c>
      <c r="B2" s="21" t="inlineStr">
        <is>
          <t>/</t>
        </is>
      </c>
      <c r="C2" s="21" t="n">
        <v>177</v>
      </c>
      <c r="D2" s="21" t="n">
        <v>10</v>
      </c>
      <c r="E2" s="21" t="inlineStr">
        <is>
          <t>67 KB</t>
        </is>
      </c>
      <c r="F2" s="21" t="inlineStr">
        <is>
          <t>Todos los proyectos del usuario (sin límite) + 10 actividades + 5 notificaciones</t>
        </is>
      </c>
      <c r="G2" s="21" t="inlineStr">
        <is>
          <t>projects.* con recuento de repos (todos), activity_logs (10), notifications (5)</t>
        </is>
      </c>
      <c r="H2" s="21" t="inlineStr">
        <is>
          <t>Proyectos sin límite</t>
        </is>
      </c>
    </row>
    <row r="3" ht="15" customHeight="1" s="11">
      <c r="A3" s="21" t="inlineStr">
        <is>
          <t>Proyectos</t>
        </is>
      </c>
      <c r="B3" s="21" t="inlineStr">
        <is>
          <t>/projects</t>
        </is>
      </c>
      <c r="C3" s="21" t="n">
        <v>64</v>
      </c>
      <c r="D3" s="21" t="n">
        <v>8</v>
      </c>
      <c r="E3" s="21" t="inlineStr">
        <is>
          <t>31 KB</t>
        </is>
      </c>
      <c r="F3" s="21" t="inlineStr">
        <is>
          <t>18 proyectos/página con propietario y nº de repos</t>
        </is>
      </c>
      <c r="G3" s="21" t="inlineStr">
        <is>
          <t>Paginada</t>
        </is>
      </c>
      <c r="H3" s="21" t="inlineStr">
        <is>
          <t>—</t>
        </is>
      </c>
    </row>
    <row r="4" ht="23.85" customHeight="1" s="11">
      <c r="A4" s="21" t="inlineStr">
        <is>
          <t>Proyecto</t>
        </is>
      </c>
      <c r="B4" s="21" t="inlineStr">
        <is>
          <t>/projects/1</t>
        </is>
      </c>
      <c r="C4" s="21" t="n">
        <v>54</v>
      </c>
      <c r="D4" s="21" t="n">
        <v>14</v>
      </c>
      <c r="E4" s="21" t="inlineStr">
        <is>
          <t>18 KB</t>
        </is>
      </c>
      <c r="F4" s="21" t="inlineStr">
        <is>
          <t>Proyecto, 8 actividades, TODOS los repos, TODOS los miembros</t>
        </is>
      </c>
      <c r="G4" s="21" t="inlineStr">
        <is>
          <t>repositories SELECT * sin límite; project_members sin límite</t>
        </is>
      </c>
      <c r="H4" s="21" t="inlineStr">
        <is>
          <t>Repositorios y miembros</t>
        </is>
      </c>
    </row>
    <row r="5" ht="15" customHeight="1" s="11">
      <c r="A5" s="21" t="inlineStr">
        <is>
          <t>Miembros</t>
        </is>
      </c>
      <c r="B5" s="21" t="inlineStr">
        <is>
          <t>/projects/1/members</t>
        </is>
      </c>
      <c r="C5" s="21" t="n">
        <v>45</v>
      </c>
      <c r="D5" s="21" t="n">
        <v>8</v>
      </c>
      <c r="E5" s="21" t="inlineStr">
        <is>
          <t>—</t>
        </is>
      </c>
      <c r="F5" s="21" t="inlineStr">
        <is>
          <t>Todos los miembros</t>
        </is>
      </c>
      <c r="G5" s="21" t="inlineStr">
        <is>
          <t>project_members sin límite</t>
        </is>
      </c>
      <c r="H5" s="21" t="inlineStr">
        <is>
          <t>Miembros</t>
        </is>
      </c>
    </row>
    <row r="6" ht="15" customHeight="1" s="11">
      <c r="A6" s="21" t="inlineStr">
        <is>
          <t>Actividad del proyecto</t>
        </is>
      </c>
      <c r="B6" s="21" t="inlineStr">
        <is>
          <t>/projects/1/activity</t>
        </is>
      </c>
      <c r="C6" s="21" t="n">
        <v>43</v>
      </c>
      <c r="D6" s="21" t="n">
        <v>11</v>
      </c>
      <c r="E6" s="21" t="inlineStr">
        <is>
          <t>—</t>
        </is>
      </c>
      <c r="F6" s="21" t="inlineStr">
        <is>
          <t>30 actividades/página</t>
        </is>
      </c>
      <c r="G6" s="21" t="inlineStr">
        <is>
          <t>Paginada</t>
        </is>
      </c>
      <c r="H6" s="21" t="inlineStr">
        <is>
          <t>—</t>
        </is>
      </c>
    </row>
    <row r="7" ht="15" customHeight="1" s="11">
      <c r="A7" s="21" t="inlineStr">
        <is>
          <t>Notificaciones</t>
        </is>
      </c>
      <c r="B7" s="21" t="inlineStr">
        <is>
          <t>/notifications</t>
        </is>
      </c>
      <c r="C7" s="21" t="n">
        <v>43</v>
      </c>
      <c r="D7" s="21" t="n">
        <v>7</v>
      </c>
      <c r="E7" s="21" t="inlineStr">
        <is>
          <t>60 KB</t>
        </is>
      </c>
      <c r="F7" s="21" t="inlineStr">
        <is>
          <t>20 notificaciones/página</t>
        </is>
      </c>
      <c r="G7" s="21" t="inlineStr">
        <is>
          <t>count de no leídas repetido</t>
        </is>
      </c>
      <c r="H7" s="21" t="inlineStr">
        <is>
          <t>—</t>
        </is>
      </c>
    </row>
    <row r="8" ht="15" customHeight="1" s="11">
      <c r="A8" s="21" t="inlineStr">
        <is>
          <t>Explorar</t>
        </is>
      </c>
      <c r="B8" s="21" t="inlineStr">
        <is>
          <t>/explore</t>
        </is>
      </c>
      <c r="C8" s="21" t="n">
        <v>51</v>
      </c>
      <c r="D8" s="21" t="n">
        <v>15</v>
      </c>
      <c r="E8" s="21" t="inlineStr">
        <is>
          <t>—</t>
        </is>
      </c>
      <c r="F8" s="21" t="inlineStr">
        <is>
          <t>20 repos públicos/página</t>
        </is>
      </c>
      <c r="G8" s="21" t="inlineStr">
        <is>
          <t>6 consultas de caché por el límite de peticiones</t>
        </is>
      </c>
      <c r="H8" s="21" t="inlineStr">
        <is>
          <t>—</t>
        </is>
      </c>
    </row>
    <row r="9" ht="15" customHeight="1" s="11">
      <c r="A9" s="21" t="inlineStr">
        <is>
          <t>Perfil</t>
        </is>
      </c>
      <c r="B9" s="21" t="inlineStr">
        <is>
          <t>/profile</t>
        </is>
      </c>
      <c r="C9" s="21" t="n">
        <v>51</v>
      </c>
      <c r="D9" s="21" t="n">
        <v>7</v>
      </c>
      <c r="E9" s="21" t="inlineStr">
        <is>
          <t>—</t>
        </is>
      </c>
      <c r="F9" s="21" t="inlineStr">
        <is>
          <t>Todas las membresías del usuario</t>
        </is>
      </c>
      <c r="G9" s="21" t="inlineStr">
        <is>
          <t>project_members + projects sin límite</t>
        </is>
      </c>
      <c r="H9" s="21" t="inlineStr">
        <is>
          <t>Membresías</t>
        </is>
      </c>
    </row>
    <row r="10" ht="23.85" customHeight="1" s="11">
      <c r="A10" s="21" t="inlineStr">
        <is>
          <t>Código (raíz)</t>
        </is>
      </c>
      <c r="B10" s="21" t="inlineStr">
        <is>
          <t>/repositories/1</t>
        </is>
      </c>
      <c r="C10" s="21" t="n">
        <v>100</v>
      </c>
      <c r="D10" s="21" t="n">
        <v>17</v>
      </c>
      <c r="E10" s="21" t="inlineStr">
        <is>
          <t>22 KB</t>
        </is>
      </c>
      <c r="F10" s="21" t="inlineStr">
        <is>
          <t>Árbol completo del commit (todas las rutas) + grafo completo para el nº de commits</t>
        </is>
      </c>
      <c r="G10" s="21" t="inlineStr">
        <is>
          <t>commit_files del commit completo; commits del repo completo</t>
        </is>
      </c>
      <c r="H10" s="21" t="inlineStr">
        <is>
          <t>Árbol y grafo</t>
        </is>
      </c>
    </row>
    <row r="11" ht="15" customHeight="1" s="11">
      <c r="A11" s="21" t="inlineStr">
        <is>
          <t>Código (carpeta)</t>
        </is>
      </c>
      <c r="B11" s="21" t="inlineStr">
        <is>
          <t>/repositories/1?path=…</t>
        </is>
      </c>
      <c r="C11" s="21" t="n">
        <v>64</v>
      </c>
      <c r="D11" s="21" t="n">
        <v>16</v>
      </c>
      <c r="E11" s="21" t="inlineStr">
        <is>
          <t>—</t>
        </is>
      </c>
      <c r="F11" s="21" t="inlineStr">
        <is>
          <t>Igual que la raíz, filtrado en PHP</t>
        </is>
      </c>
      <c r="G11" s="21" t="inlineStr">
        <is>
          <t>Igual</t>
        </is>
      </c>
      <c r="H11" s="21" t="inlineStr">
        <is>
          <t>Árbol y grafo</t>
        </is>
      </c>
    </row>
    <row r="12" ht="15" customHeight="1" s="11">
      <c r="A12" s="21" t="inlineStr">
        <is>
          <t>Archivo</t>
        </is>
      </c>
      <c r="B12" s="21" t="inlineStr">
        <is>
          <t>/repositories/1/blob</t>
        </is>
      </c>
      <c r="C12" s="21" t="n">
        <v>49</v>
      </c>
      <c r="D12" s="21" t="n">
        <v>12</v>
      </c>
      <c r="E12" s="21" t="inlineStr">
        <is>
          <t>—</t>
        </is>
      </c>
      <c r="F12" s="21" t="inlineStr">
        <is>
          <t>Árbol del commit + un blob</t>
        </is>
      </c>
      <c r="G12" s="21" t="inlineStr">
        <is>
          <t>commit_files completo para localizar un archivo</t>
        </is>
      </c>
      <c r="H12" s="21" t="inlineStr">
        <is>
          <t>Árbol</t>
        </is>
      </c>
    </row>
    <row r="13" ht="15" customHeight="1" s="11">
      <c r="A13" s="21" t="inlineStr">
        <is>
          <t>Ramas</t>
        </is>
      </c>
      <c r="B13" s="21" t="inlineStr">
        <is>
          <t>/repositories/1/branches</t>
        </is>
      </c>
      <c r="C13" s="21" t="n">
        <v>82</v>
      </c>
      <c r="D13" s="21" t="n">
        <v>14</v>
      </c>
      <c r="E13" s="21" t="inlineStr">
        <is>
          <t>108 KB</t>
        </is>
      </c>
      <c r="F13" s="21" t="inlineStr">
        <is>
          <t>Todas las ramas + último commit + grafo (delante/detrás)</t>
        </is>
      </c>
      <c r="G13" s="21" t="inlineStr">
        <is>
          <t>branches y commits sin límite</t>
        </is>
      </c>
      <c r="H13" s="21" t="inlineStr">
        <is>
          <t>Ramas</t>
        </is>
      </c>
    </row>
    <row r="14" ht="15" customHeight="1" s="11">
      <c r="A14" s="21" t="inlineStr">
        <is>
          <t>Commits</t>
        </is>
      </c>
      <c r="B14" s="21" t="inlineStr">
        <is>
          <t>/repositories/1/commits</t>
        </is>
      </c>
      <c r="C14" s="21" t="n">
        <v>72</v>
      </c>
      <c r="D14" s="21" t="n">
        <v>14</v>
      </c>
      <c r="E14" s="21" t="inlineStr">
        <is>
          <t>60 KB</t>
        </is>
      </c>
      <c r="F14" s="21" t="inlineStr">
        <is>
          <t>30 commits/página</t>
        </is>
      </c>
      <c r="G14" s="21" t="inlineStr">
        <is>
          <t>Grafo completo + IN con todos los ancestros</t>
        </is>
      </c>
      <c r="H14" s="21" t="inlineStr">
        <is>
          <t>—</t>
        </is>
      </c>
    </row>
    <row r="15" ht="15" customHeight="1" s="11">
      <c r="A15" s="21" t="inlineStr">
        <is>
          <t>Commit (diff grande)</t>
        </is>
      </c>
      <c r="B15" s="21" t="inlineStr">
        <is>
          <t>/repositories/1/commits/{sha}</t>
        </is>
      </c>
      <c r="C15" s="21" t="n">
        <v>190</v>
      </c>
      <c r="D15" s="21" t="n">
        <v>6</v>
      </c>
      <c r="E15" s="21" t="inlineStr">
        <is>
          <t>6,3 MB</t>
        </is>
      </c>
      <c r="F15" s="21" t="inlineStr">
        <is>
          <t>Diff completo de 150 archivos (12.450 filas)</t>
        </is>
      </c>
      <c r="G15" s="21" t="inlineStr">
        <is>
          <t>—</t>
        </is>
      </c>
      <c r="H15" s="21" t="inlineStr">
        <is>
          <t>Diff sin límite</t>
        </is>
      </c>
    </row>
    <row r="16" ht="15" customHeight="1" s="11">
      <c r="A16" s="21" t="inlineStr">
        <is>
          <t>Issues</t>
        </is>
      </c>
      <c r="B16" s="21" t="inlineStr">
        <is>
          <t>/repositories/1/issues</t>
        </is>
      </c>
      <c r="C16" s="21" t="n">
        <v>81</v>
      </c>
      <c r="D16" s="21" t="n">
        <v>15</v>
      </c>
      <c r="E16" s="21" t="inlineStr">
        <is>
          <t>—</t>
        </is>
      </c>
      <c r="F16" s="21" t="inlineStr">
        <is>
          <t>25 issues/página + recuentos + etiquetas</t>
        </is>
      </c>
      <c r="G16" s="21" t="inlineStr">
        <is>
          <t>labels de todas las issues; recuentos x3</t>
        </is>
      </c>
      <c r="H16" s="21" t="inlineStr">
        <is>
          <t>Etiquetas</t>
        </is>
      </c>
    </row>
    <row r="17" ht="15" customHeight="1" s="11">
      <c r="A17" s="21" t="inlineStr">
        <is>
          <t>Issue</t>
        </is>
      </c>
      <c r="B17" s="21" t="inlineStr">
        <is>
          <t>/repositories/1/issues/3</t>
        </is>
      </c>
      <c r="C17" s="21" t="n">
        <v>107</v>
      </c>
      <c r="D17" s="21" t="n">
        <v>19</v>
      </c>
      <c r="E17" s="21" t="inlineStr">
        <is>
          <t>67 KB</t>
        </is>
      </c>
      <c r="F17" s="21" t="inlineStr">
        <is>
          <t>Issue + TODOS los comentarios + TODA la actividad</t>
        </is>
      </c>
      <c r="G17" s="21" t="inlineStr">
        <is>
          <t>issue_comments y activity_logs sin límite</t>
        </is>
      </c>
      <c r="H17" s="21" t="inlineStr">
        <is>
          <t>Comentarios y actividad</t>
        </is>
      </c>
    </row>
    <row r="18" ht="15" customHeight="1" s="11">
      <c r="A18" s="21" t="inlineStr">
        <is>
          <t>Pull requests</t>
        </is>
      </c>
      <c r="B18" s="21" t="inlineStr">
        <is>
          <t>/repositories/1/pulls</t>
        </is>
      </c>
      <c r="C18" s="21" t="n">
        <v>60</v>
      </c>
      <c r="D18" s="21" t="n">
        <v>14</v>
      </c>
      <c r="E18" s="21" t="inlineStr">
        <is>
          <t>—</t>
        </is>
      </c>
      <c r="F18" s="21" t="inlineStr">
        <is>
          <t>25 PRs/página</t>
        </is>
      </c>
      <c r="G18" s="21" t="inlineStr">
        <is>
          <t>recuento x2</t>
        </is>
      </c>
      <c r="H18" s="21" t="inlineStr">
        <is>
          <t>—</t>
        </is>
      </c>
    </row>
    <row r="19" ht="23.85" customHeight="1" s="11">
      <c r="A19" s="21" t="inlineStr">
        <is>
          <t>Pull request</t>
        </is>
      </c>
      <c r="B19" s="21" t="inlineStr">
        <is>
          <t>/repositories/1/pulls/3</t>
        </is>
      </c>
      <c r="C19" s="21" t="n">
        <v>128</v>
      </c>
      <c r="D19" s="21" t="n">
        <v>29</v>
      </c>
      <c r="E19" s="21" t="inlineStr">
        <is>
          <t>76 KB</t>
        </is>
      </c>
      <c r="F19" s="21" t="inlineStr">
        <is>
          <t>PR + comentarios + revisiones + actividad + diff (para el contador) + comprobación de conflictos</t>
        </is>
      </c>
      <c r="G19" s="21" t="inlineStr">
        <is>
          <t>Grafo x3, árbol x3, comentarios/actividad sin límite</t>
        </is>
      </c>
      <c r="H19" s="21" t="inlineStr">
        <is>
          <t>Comentarios, actividad, diff</t>
        </is>
      </c>
    </row>
    <row r="20" ht="15" customHeight="1" s="11">
      <c r="A20" s="21" t="inlineStr">
        <is>
          <t>PR · Archivos</t>
        </is>
      </c>
      <c r="B20" s="21" t="inlineStr">
        <is>
          <t>/repositories/1/pulls/3?tab=files</t>
        </is>
      </c>
      <c r="C20" s="21" t="n">
        <v>64</v>
      </c>
      <c r="D20" s="21" t="n">
        <v>29</v>
      </c>
      <c r="E20" s="21" t="inlineStr">
        <is>
          <t>15 KB*</t>
        </is>
      </c>
      <c r="F20" s="21" t="inlineStr">
        <is>
          <t>Lo mismo + diff con hunks de todos los archivos</t>
        </is>
      </c>
      <c r="G20" s="21" t="inlineStr">
        <is>
          <t>*Pequeño en este PR; sin límite en PRs grandes (ver R01)</t>
        </is>
      </c>
      <c r="H20" s="21" t="inlineStr">
        <is>
          <t>Diff</t>
        </is>
      </c>
    </row>
    <row r="21" ht="23.85" customHeight="1" s="11">
      <c r="A21" s="21" t="inlineStr">
        <is>
          <t>Nuevo PR</t>
        </is>
      </c>
      <c r="B21" s="21" t="inlineStr">
        <is>
          <t>/repositories/1/pulls/create</t>
        </is>
      </c>
      <c r="C21" s="21" t="n">
        <v>48</v>
      </c>
      <c r="D21" s="21" t="n">
        <v>16</v>
      </c>
      <c r="E21" s="21" t="inlineStr">
        <is>
          <t>—</t>
        </is>
      </c>
      <c r="F21" s="21" t="inlineStr">
        <is>
          <t>Todas las ramas, todas las issues abiertas, miembros, diff de vista previa</t>
        </is>
      </c>
      <c r="G21" s="21" t="inlineStr">
        <is>
          <t>branches SELECT *, issues abiertas sin límite</t>
        </is>
      </c>
      <c r="H21" s="21" t="inlineStr">
        <is>
          <t>Issues abiertas</t>
        </is>
      </c>
    </row>
    <row r="22" ht="15" customHeight="1" s="11">
      <c r="A22" s="21" t="inlineStr">
        <is>
          <t>Configuración del repo</t>
        </is>
      </c>
      <c r="B22" s="21" t="inlineStr">
        <is>
          <t>/repositories/1/settings</t>
        </is>
      </c>
      <c r="C22" s="21" t="n">
        <v>36</v>
      </c>
      <c r="D22" s="21" t="n">
        <v>8</v>
      </c>
      <c r="E22" s="21" t="inlineStr">
        <is>
          <t>—</t>
        </is>
      </c>
      <c r="F22" s="21" t="inlineStr">
        <is>
          <t>Repo + nombres de ramas</t>
        </is>
      </c>
      <c r="G22" s="21" t="inlineStr">
        <is>
          <t>—</t>
        </is>
      </c>
      <c r="H22" s="21" t="inlineStr">
        <is>
          <t>—</t>
        </is>
      </c>
    </row>
    <row r="24" ht="15" customHeight="1" s="11">
      <c r="A24" s="16" t="inlineStr">
        <is>
          <t>Media</t>
        </is>
      </c>
      <c r="B24" s="16" t="n"/>
      <c r="C24" s="16">
        <f>ROUND(AVERAGE(C2:C22),0)</f>
        <v/>
      </c>
      <c r="D24" s="16">
        <f>ROUND(AVERAGE(D2:D22),1)</f>
        <v/>
      </c>
      <c r="E24" s="16" t="n"/>
      <c r="F24" s="16" t="n"/>
      <c r="G24" s="16" t="n"/>
      <c r="H24" s="16" t="n"/>
    </row>
    <row r="25" ht="15" customHeight="1" s="11">
      <c r="A25" s="16" t="inlineStr">
        <is>
          <t>Máximo</t>
        </is>
      </c>
      <c r="B25" s="16" t="n"/>
      <c r="C25" s="16">
        <f>MAX(C2:C22)</f>
        <v/>
      </c>
      <c r="D25" s="16">
        <f>MAX(D2:D22)</f>
        <v/>
      </c>
      <c r="E25" s="16" t="n"/>
      <c r="F25" s="16" t="n"/>
      <c r="G25" s="16" t="n"/>
      <c r="H25" s="16" t="n"/>
    </row>
    <row r="27" ht="15" customHeight="1" s="11">
      <c r="A27" s="13" t="inlineStr">
        <is>
          <t>Medido con: nginx + PHP-FPM 8.3 + MySQL 8, OPcache activo, como «propietaria», con datos grandes (31 proyectos, 351 commits, 53.390 filas de árbol, 82 issues, 281 comentarios, 1.642 notificaciones). Mejor de 1 ejecución; HTML sin comprimir.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10" min="1" max="1"/>
    <col width="16" customWidth="1" style="10" min="2" max="2"/>
    <col width="22" customWidth="1" style="10" min="3" max="3"/>
    <col width="34" customWidth="1" style="10" min="4" max="4"/>
    <col width="52" customWidth="1" style="10" min="5" max="5"/>
  </cols>
  <sheetData>
    <row r="1" ht="15" customHeight="1" s="11">
      <c r="A1" s="19" t="inlineStr">
        <is>
          <t>Componente</t>
        </is>
      </c>
      <c r="B1" s="19" t="inlineStr">
        <is>
          <t>Tipo</t>
        </is>
      </c>
      <c r="C1" s="19" t="inlineStr">
        <is>
          <t>Dónde se usa</t>
        </is>
      </c>
      <c r="D1" s="19" t="inlineStr">
        <is>
          <t>Estado</t>
        </is>
      </c>
      <c r="E1" s="19" t="inlineStr">
        <is>
          <t>Propuesta</t>
        </is>
      </c>
    </row>
    <row r="2" ht="23.85" customHeight="1" s="11">
      <c r="A2" s="21" t="inlineStr">
        <is>
          <t>app-layout / guest-layout</t>
        </is>
      </c>
      <c r="B2" s="21" t="inlineStr">
        <is>
          <t>Layout</t>
        </is>
      </c>
      <c r="C2" s="21" t="inlineStr">
        <is>
          <t>Todas</t>
        </is>
      </c>
      <c r="D2" s="21" t="inlineStr">
        <is>
          <t>Correcto</t>
        </is>
      </c>
      <c r="E2" s="21" t="inlineStr">
        <is>
          <t>Añadir enlace para saltar al contenido, landmarks y navegación nueva (U02, A02)</t>
        </is>
      </c>
    </row>
    <row r="3" ht="15" customHeight="1" s="11">
      <c r="A3" s="21" t="inlineStr">
        <is>
          <t>button</t>
        </is>
      </c>
      <c r="B3" s="21" t="inlineStr">
        <is>
          <t>Base</t>
        </is>
      </c>
      <c r="C3" s="21" t="inlineStr">
        <is>
          <t>Todas</t>
        </is>
      </c>
      <c r="D3" s="21" t="inlineStr">
        <is>
          <t>Correcto (variantes y foco)</t>
        </is>
      </c>
      <c r="E3" s="21" t="inlineStr">
        <is>
          <t>Añadir estado de carga (U04)</t>
        </is>
      </c>
    </row>
    <row r="4" ht="15" customHeight="1" s="11">
      <c r="A4" s="21" t="inlineStr">
        <is>
          <t>input / textarea / select</t>
        </is>
      </c>
      <c r="B4" s="21" t="inlineStr">
        <is>
          <t>Formularios</t>
        </is>
      </c>
      <c r="C4" s="21" t="inlineStr">
        <is>
          <t>Todas</t>
        </is>
      </c>
      <c r="D4" s="21" t="inlineStr">
        <is>
          <t>Correcto (etiqueta + error junto al campo)</t>
        </is>
      </c>
      <c r="E4" s="21" t="inlineStr">
        <is>
          <t>—</t>
        </is>
      </c>
    </row>
    <row r="5" ht="15" customHeight="1" s="11">
      <c r="A5" s="21" t="inlineStr">
        <is>
          <t>card</t>
        </is>
      </c>
      <c r="B5" s="21" t="inlineStr">
        <is>
          <t>Base</t>
        </is>
      </c>
      <c r="C5" s="21" t="inlineStr">
        <is>
          <t>Todas</t>
        </is>
      </c>
      <c r="D5" s="21" t="inlineStr">
        <is>
          <t>Correcto</t>
        </is>
      </c>
      <c r="E5" s="21" t="inlineStr">
        <is>
          <t>—</t>
        </is>
      </c>
    </row>
    <row r="6" ht="15" customHeight="1" s="11">
      <c r="A6" s="21" t="inlineStr">
        <is>
          <t>badge</t>
        </is>
      </c>
      <c r="B6" s="21" t="inlineStr">
        <is>
          <t>Base</t>
        </is>
      </c>
      <c r="C6" s="21" t="inlineStr">
        <is>
          <t>Todas</t>
        </is>
      </c>
      <c r="D6" s="21" t="inlineStr">
        <is>
          <t>Correcto (texto + color)</t>
        </is>
      </c>
      <c r="E6" s="21" t="inlineStr">
        <is>
          <t>—</t>
        </is>
      </c>
    </row>
    <row r="7" ht="15" customHeight="1" s="11">
      <c r="A7" s="21" t="inlineStr">
        <is>
          <t>empty</t>
        </is>
      </c>
      <c r="B7" s="21" t="inlineStr">
        <is>
          <t>Estados</t>
        </is>
      </c>
      <c r="C7" s="21" t="inlineStr">
        <is>
          <t>Todas</t>
        </is>
      </c>
      <c r="D7" s="21" t="inlineStr">
        <is>
          <t>Solo título y texto</t>
        </is>
      </c>
      <c r="E7" s="21" t="inlineStr">
        <is>
          <t>Añadir acción opcional (U05)</t>
        </is>
      </c>
    </row>
    <row r="8" ht="15" customHeight="1" s="11">
      <c r="A8" s="21" t="inlineStr">
        <is>
          <t>flash</t>
        </is>
      </c>
      <c r="B8" s="21" t="inlineStr">
        <is>
          <t>Feedback</t>
        </is>
      </c>
      <c r="C8" s="21" t="inlineStr">
        <is>
          <t>Todas</t>
        </is>
      </c>
      <c r="D8" s="21" t="inlineStr">
        <is>
          <t>Sin cierre ni role</t>
        </is>
      </c>
      <c r="E8" s="21" t="inlineStr">
        <is>
          <t>Convertir en alerta/toast accesible (U08)</t>
        </is>
      </c>
    </row>
    <row r="9" ht="15" customHeight="1" s="11">
      <c r="A9" s="21" t="inlineStr">
        <is>
          <t>diff</t>
        </is>
      </c>
      <c r="B9" s="21" t="inlineStr">
        <is>
          <t>Código</t>
        </is>
      </c>
      <c r="C9" s="21" t="inlineStr">
        <is>
          <t>Commit, PR</t>
        </is>
      </c>
      <c r="D9" s="21" t="inlineStr">
        <is>
          <t>Renderiza todo</t>
        </is>
      </c>
      <c r="E9" s="21" t="inlineStr">
        <is>
          <t>Diff por archivo bajo demanda y con límite (R01)</t>
        </is>
      </c>
    </row>
    <row r="10" ht="15" customHeight="1" s="11">
      <c r="A10" s="21" t="inlineStr">
        <is>
          <t>account-pagination / collab-pagination</t>
        </is>
      </c>
      <c r="B10" s="21" t="inlineStr">
        <is>
          <t>Navegación</t>
        </is>
      </c>
      <c r="C10" s="21" t="inlineStr">
        <is>
          <t>Varias</t>
        </is>
      </c>
      <c r="D10" s="21" t="inlineStr">
        <is>
          <t>DUPLICADO</t>
        </is>
      </c>
      <c r="E10" s="21" t="inlineStr">
        <is>
          <t>Unificar en x-pagination (U07)</t>
        </is>
      </c>
    </row>
    <row r="11" ht="15" customHeight="1" s="11">
      <c r="A11" s="21" t="inlineStr">
        <is>
          <t>code-avatar / collab-avatar</t>
        </is>
      </c>
      <c r="B11" s="21" t="inlineStr">
        <is>
          <t>Base</t>
        </is>
      </c>
      <c r="C11" s="21" t="inlineStr">
        <is>
          <t>Varias</t>
        </is>
      </c>
      <c r="D11" s="21" t="inlineStr">
        <is>
          <t>DUPLICADO</t>
        </is>
      </c>
      <c r="E11" s="21" t="inlineStr">
        <is>
          <t>Unificar en x-avatar (U07)</t>
        </is>
      </c>
    </row>
    <row r="12" ht="15" customHeight="1" s="11">
      <c r="A12" s="21" t="inlineStr">
        <is>
          <t>collab-markdown + Str::markdown en vistas</t>
        </is>
      </c>
      <c r="B12" s="21" t="inlineStr">
        <is>
          <t>Contenido</t>
        </is>
      </c>
      <c r="C12" s="21" t="inlineStr">
        <is>
          <t>Issues, PRs, README</t>
        </is>
      </c>
      <c r="D12" s="21" t="inlineStr">
        <is>
          <t>Uso mixto</t>
        </is>
      </c>
      <c r="E12" s="21" t="inlineStr">
        <is>
          <t>Usar siempre x-markdown (U07)</t>
        </is>
      </c>
    </row>
    <row r="13" ht="15" customHeight="1" s="11">
      <c r="A13" s="21" t="inlineStr">
        <is>
          <t>collab-state-tabs + pestañas en _header</t>
        </is>
      </c>
      <c r="B13" s="21" t="inlineStr">
        <is>
          <t>Navegación</t>
        </is>
      </c>
      <c r="C13" s="21" t="inlineStr">
        <is>
          <t>Repos, issues, PRs</t>
        </is>
      </c>
      <c r="D13" s="21" t="inlineStr">
        <is>
          <t>Pestañas implementadas dos veces</t>
        </is>
      </c>
      <c r="E13" s="21" t="inlineStr">
        <is>
          <t>Unificar en x-tabs (U07)</t>
        </is>
      </c>
    </row>
    <row r="14" ht="15" customHeight="1" s="11">
      <c r="A14" s="21" t="inlineStr">
        <is>
          <t>code-icon</t>
        </is>
      </c>
      <c r="B14" s="21" t="inlineStr">
        <is>
          <t>Iconos</t>
        </is>
      </c>
      <c r="C14" s="21" t="inlineStr">
        <is>
          <t>Código</t>
        </is>
      </c>
      <c r="D14" s="21" t="inlineStr">
        <is>
          <t>SVG en línea</t>
        </is>
      </c>
      <c r="E14" s="21" t="inlineStr">
        <is>
          <t>Ampliar como x-icon general</t>
        </is>
      </c>
    </row>
    <row r="15" ht="15" customHeight="1" s="11">
      <c r="A15" s="21" t="inlineStr">
        <is>
          <t>code-breadcrumbs / code-branch-select / code-size</t>
        </is>
      </c>
      <c r="B15" s="21" t="inlineStr">
        <is>
          <t>Código</t>
        </is>
      </c>
      <c r="C15" s="21" t="inlineStr">
        <is>
          <t>Explorador</t>
        </is>
      </c>
      <c r="D15" s="21" t="inlineStr">
        <is>
          <t>Correcto</t>
        </is>
      </c>
      <c r="E15" s="21" t="inlineStr">
        <is>
          <t>—</t>
        </is>
      </c>
    </row>
    <row r="16" ht="15" customHeight="1" s="11">
      <c r="A16" s="21" t="inlineStr">
        <is>
          <t>collab-*-status / priority / review-state / label</t>
        </is>
      </c>
      <c r="B16" s="21" t="inlineStr">
        <is>
          <t>Badges de estado</t>
        </is>
      </c>
      <c r="C16" s="21" t="inlineStr">
        <is>
          <t>Issues, PRs</t>
        </is>
      </c>
      <c r="D16" s="21" t="inlineStr">
        <is>
          <t>Correcto (texto + color)</t>
        </is>
      </c>
      <c r="E16" s="21" t="inlineStr">
        <is>
          <t>—</t>
        </is>
      </c>
    </row>
    <row r="17" ht="23.85" customHeight="1" s="11">
      <c r="A17" s="21" t="inlineStr">
        <is>
          <t>account-project-card / role-badge / activity-item / notification-icon</t>
        </is>
      </c>
      <c r="B17" s="21" t="inlineStr">
        <is>
          <t>Cuenta</t>
        </is>
      </c>
      <c r="C17" s="21" t="inlineStr">
        <is>
          <t>Dashboard, proyectos</t>
        </is>
      </c>
      <c r="D17" s="21" t="inlineStr">
        <is>
          <t>Correcto</t>
        </is>
      </c>
      <c r="E17" s="21" t="inlineStr">
        <is>
          <t>—</t>
        </is>
      </c>
    </row>
    <row r="18" ht="15" customHeight="1" s="11">
      <c r="A18" s="21" t="inlineStr">
        <is>
          <t>(no existe) modal / confirm</t>
        </is>
      </c>
      <c r="B18" s="21" t="inlineStr">
        <is>
          <t>—</t>
        </is>
      </c>
      <c r="C18" s="21" t="inlineStr">
        <is>
          <t>—</t>
        </is>
      </c>
      <c r="D18" s="21" t="inlineStr">
        <is>
          <t>Falta</t>
        </is>
      </c>
      <c r="E18" s="21" t="inlineStr">
        <is>
          <t>Nuevo x-confirm con el elemento nativo dialog (U06)</t>
        </is>
      </c>
    </row>
    <row r="19" ht="15" customHeight="1" s="11">
      <c r="A19" s="21" t="inlineStr">
        <is>
          <t>(no existe) help / tooltip</t>
        </is>
      </c>
      <c r="B19" s="21" t="inlineStr">
        <is>
          <t>—</t>
        </is>
      </c>
      <c r="C19" s="21" t="inlineStr">
        <is>
          <t>—</t>
        </is>
      </c>
      <c r="D19" s="21" t="inlineStr">
        <is>
          <t>Falta</t>
        </is>
      </c>
      <c r="E19" s="21" t="inlineStr">
        <is>
          <t>Nuevo x-help (U03)</t>
        </is>
      </c>
    </row>
    <row r="20" ht="15" customHeight="1" s="11">
      <c r="A20" s="21" t="inlineStr">
        <is>
          <t>(no existe) skeleton / spinner</t>
        </is>
      </c>
      <c r="B20" s="21" t="inlineStr">
        <is>
          <t>—</t>
        </is>
      </c>
      <c r="C20" s="21" t="inlineStr">
        <is>
          <t>—</t>
        </is>
      </c>
      <c r="D20" s="21" t="inlineStr">
        <is>
          <t>Falta</t>
        </is>
      </c>
      <c r="E20" s="21" t="inlineStr">
        <is>
          <t>Para secciones que se cargan bajo demanda (F01)</t>
        </is>
      </c>
    </row>
    <row r="21" ht="23.85" customHeight="1" s="11">
      <c r="A21" s="21" t="inlineStr">
        <is>
          <t>(no existe) table</t>
        </is>
      </c>
      <c r="B21" s="21" t="inlineStr">
        <is>
          <t>—</t>
        </is>
      </c>
      <c r="C21" s="21" t="inlineStr">
        <is>
          <t>—</t>
        </is>
      </c>
      <c r="D21" s="21" t="inlineStr">
        <is>
          <t>Falta (tablas montadas a mano en cada vista)</t>
        </is>
      </c>
      <c r="E21" s="21" t="inlineStr">
        <is>
          <t>x-table opcional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2026-10-08T22:46:20Z</dcterms:created>
  <dcterms:modified xmlns:dcterms="http://purl.org/dc/terms/" xmlns:xsi="http://www.w3.org/2001/XMLSchema-instance" xsi:type="dcterms:W3CDTF">2026-10-09T15:25:46Z</dcterms:modified>
  <cp:revision>0</cp:revision>
</cp:coreProperties>
</file>